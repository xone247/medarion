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pategoujoseph/Documents/Personnel Joseph/Medarion_Website /M-Index/"/>
    </mc:Choice>
  </mc:AlternateContent>
  <xr:revisionPtr revIDLastSave="0" documentId="13_ncr:1_{A6DFD185-50C6-6A4F-BC8D-701B8264882A}" xr6:coauthVersionLast="47" xr6:coauthVersionMax="47" xr10:uidLastSave="{00000000-0000-0000-0000-000000000000}"/>
  <bookViews>
    <workbookView xWindow="0" yWindow="500" windowWidth="28800" windowHeight="17500" tabRatio="500" xr2:uid="{00000000-000D-0000-FFFF-FFFF00000000}"/>
  </bookViews>
  <sheets>
    <sheet name="Data"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99" i="2" l="1"/>
  <c r="J498" i="2"/>
  <c r="J497" i="2"/>
  <c r="J496" i="2"/>
  <c r="J495" i="2"/>
  <c r="J494" i="2"/>
  <c r="J493" i="2"/>
  <c r="J492" i="2"/>
  <c r="J490" i="2"/>
  <c r="J489" i="2"/>
  <c r="J488" i="2"/>
  <c r="J487" i="2"/>
  <c r="J486" i="2"/>
  <c r="J483" i="2"/>
  <c r="J482" i="2"/>
  <c r="J481" i="2"/>
  <c r="J480" i="2"/>
  <c r="J479" i="2"/>
  <c r="J478" i="2"/>
  <c r="J477" i="2"/>
  <c r="J476" i="2"/>
  <c r="J475" i="2"/>
  <c r="J474" i="2"/>
  <c r="J473" i="2"/>
  <c r="J472" i="2"/>
  <c r="J471" i="2"/>
  <c r="J469" i="2"/>
  <c r="J468" i="2"/>
  <c r="J467" i="2"/>
  <c r="J466" i="2"/>
  <c r="J465" i="2"/>
  <c r="J464" i="2"/>
  <c r="J463" i="2"/>
  <c r="J462" i="2"/>
  <c r="J461" i="2"/>
  <c r="J460" i="2"/>
  <c r="J459" i="2"/>
  <c r="J458" i="2"/>
  <c r="J457" i="2"/>
  <c r="J456" i="2"/>
  <c r="J455" i="2"/>
  <c r="J454" i="2"/>
  <c r="J453" i="2"/>
  <c r="J452" i="2"/>
  <c r="J451" i="2"/>
  <c r="J450" i="2"/>
  <c r="J449" i="2"/>
  <c r="J448" i="2"/>
  <c r="J447" i="2"/>
  <c r="J446" i="2"/>
  <c r="J445" i="2"/>
  <c r="J442" i="2"/>
  <c r="J441" i="2"/>
  <c r="J440" i="2"/>
  <c r="J439" i="2"/>
  <c r="J438" i="2"/>
  <c r="J437" i="2"/>
  <c r="J436" i="2"/>
  <c r="J435" i="2"/>
  <c r="J433" i="2"/>
  <c r="J432" i="2"/>
  <c r="J431" i="2"/>
  <c r="J430" i="2"/>
  <c r="J429" i="2"/>
  <c r="J428" i="2"/>
  <c r="J427" i="2"/>
  <c r="J426" i="2"/>
  <c r="J425" i="2"/>
  <c r="J424" i="2"/>
  <c r="J423" i="2"/>
  <c r="J422" i="2"/>
  <c r="J421" i="2"/>
  <c r="J420" i="2"/>
  <c r="J419" i="2"/>
  <c r="J418" i="2"/>
  <c r="J416" i="2"/>
  <c r="J415" i="2"/>
  <c r="J414" i="2"/>
  <c r="J413" i="2"/>
  <c r="J412" i="2"/>
  <c r="J411" i="2"/>
  <c r="J410" i="2"/>
  <c r="J408" i="2"/>
  <c r="J407" i="2"/>
  <c r="J406" i="2"/>
  <c r="J405" i="2"/>
  <c r="J404" i="2"/>
  <c r="J402" i="2"/>
  <c r="J401" i="2"/>
  <c r="J399" i="2"/>
  <c r="J398" i="2"/>
  <c r="J397" i="2"/>
  <c r="J396" i="2"/>
  <c r="J395" i="2"/>
  <c r="J394" i="2"/>
  <c r="J393" i="2"/>
  <c r="J391" i="2"/>
  <c r="J390" i="2"/>
  <c r="J389" i="2"/>
  <c r="J388" i="2"/>
  <c r="J387" i="2"/>
  <c r="J386" i="2"/>
  <c r="J385" i="2"/>
  <c r="J384" i="2"/>
  <c r="J383" i="2"/>
  <c r="J382" i="2"/>
  <c r="J380" i="2"/>
  <c r="J379" i="2"/>
  <c r="J378" i="2"/>
  <c r="J377" i="2"/>
  <c r="J376" i="2"/>
  <c r="J375" i="2"/>
  <c r="J374" i="2"/>
  <c r="J373" i="2"/>
  <c r="J372" i="2"/>
  <c r="J371" i="2"/>
  <c r="J370" i="2"/>
  <c r="J369" i="2"/>
  <c r="J368" i="2"/>
  <c r="J364" i="2"/>
  <c r="J363" i="2"/>
  <c r="J362"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8" i="2"/>
  <c r="J327" i="2"/>
  <c r="J326" i="2"/>
  <c r="J323" i="2"/>
  <c r="J322" i="2"/>
  <c r="J321" i="2"/>
  <c r="J320" i="2"/>
  <c r="J319" i="2"/>
  <c r="J318" i="2"/>
  <c r="J317" i="2"/>
  <c r="J316" i="2"/>
  <c r="J315" i="2"/>
  <c r="J314" i="2"/>
  <c r="J313" i="2"/>
  <c r="J312" i="2"/>
  <c r="J311" i="2"/>
  <c r="J310" i="2"/>
  <c r="J309" i="2"/>
  <c r="J308" i="2"/>
  <c r="J306" i="2"/>
  <c r="J305" i="2"/>
  <c r="J304" i="2"/>
  <c r="J303" i="2"/>
  <c r="J302" i="2"/>
  <c r="J301" i="2"/>
  <c r="J300" i="2"/>
  <c r="J299" i="2"/>
  <c r="J298" i="2"/>
  <c r="J297" i="2"/>
  <c r="J296" i="2"/>
  <c r="J295" i="2"/>
  <c r="J294" i="2"/>
  <c r="J293" i="2"/>
  <c r="J290" i="2"/>
  <c r="J288" i="2"/>
  <c r="J286" i="2"/>
  <c r="J285" i="2"/>
  <c r="J284" i="2"/>
  <c r="J283" i="2"/>
  <c r="J282" i="2"/>
  <c r="J281" i="2"/>
  <c r="J279" i="2"/>
  <c r="J278" i="2"/>
  <c r="J277" i="2"/>
  <c r="J276" i="2"/>
  <c r="J275" i="2"/>
  <c r="J274" i="2"/>
  <c r="J273" i="2"/>
  <c r="J272" i="2"/>
  <c r="J271" i="2"/>
  <c r="J270" i="2"/>
  <c r="J269" i="2"/>
  <c r="J266" i="2"/>
  <c r="J265" i="2"/>
  <c r="J264" i="2"/>
  <c r="J263" i="2"/>
  <c r="J262" i="2"/>
  <c r="J261" i="2"/>
  <c r="J260" i="2"/>
  <c r="J259" i="2"/>
  <c r="J258" i="2"/>
  <c r="J257" i="2"/>
  <c r="J256" i="2"/>
  <c r="J253" i="2"/>
  <c r="J251" i="2"/>
  <c r="J250" i="2"/>
  <c r="J249" i="2"/>
  <c r="J248" i="2"/>
  <c r="J247" i="2"/>
  <c r="J246" i="2"/>
  <c r="J245" i="2"/>
  <c r="J244" i="2"/>
  <c r="J242" i="2"/>
  <c r="J241" i="2"/>
  <c r="J240" i="2"/>
  <c r="J239" i="2"/>
  <c r="J238" i="2"/>
  <c r="J237" i="2"/>
  <c r="J236" i="2"/>
  <c r="J235" i="2"/>
  <c r="J234" i="2"/>
  <c r="J232" i="2"/>
  <c r="J231" i="2"/>
  <c r="J230" i="2"/>
  <c r="J229" i="2"/>
  <c r="J228" i="2"/>
  <c r="J227" i="2"/>
  <c r="J226" i="2"/>
  <c r="J225" i="2"/>
  <c r="J224" i="2"/>
  <c r="J223" i="2"/>
  <c r="J222" i="2"/>
  <c r="J221" i="2"/>
  <c r="J220" i="2"/>
  <c r="J219" i="2"/>
  <c r="J218" i="2"/>
  <c r="J217" i="2"/>
  <c r="J216" i="2"/>
  <c r="J215" i="2"/>
  <c r="J214" i="2"/>
  <c r="J213" i="2"/>
  <c r="J212" i="2"/>
  <c r="J211" i="2"/>
  <c r="J210" i="2"/>
  <c r="J209" i="2"/>
  <c r="J207" i="2"/>
  <c r="J206" i="2"/>
  <c r="J205" i="2"/>
  <c r="J204" i="2"/>
  <c r="J203" i="2"/>
  <c r="J202" i="2"/>
  <c r="J201" i="2"/>
  <c r="J200" i="2"/>
  <c r="J199" i="2"/>
  <c r="J198" i="2"/>
  <c r="J197" i="2"/>
  <c r="J196" i="2"/>
  <c r="J195" i="2"/>
  <c r="J194" i="2"/>
  <c r="J193" i="2"/>
  <c r="J192" i="2"/>
  <c r="J191" i="2"/>
  <c r="J190" i="2"/>
  <c r="J188" i="2"/>
  <c r="J187" i="2"/>
  <c r="J186" i="2"/>
  <c r="J185" i="2"/>
  <c r="J183" i="2"/>
  <c r="J182" i="2"/>
  <c r="J181" i="2"/>
  <c r="J179" i="2"/>
  <c r="J177" i="2"/>
  <c r="J176" i="2"/>
  <c r="J175" i="2"/>
  <c r="J174" i="2"/>
  <c r="J172" i="2"/>
  <c r="J171" i="2"/>
  <c r="J170" i="2"/>
  <c r="J169" i="2"/>
  <c r="J166" i="2"/>
  <c r="J165" i="2"/>
  <c r="J164" i="2"/>
  <c r="J163" i="2"/>
  <c r="J162" i="2"/>
  <c r="J161" i="2"/>
  <c r="J160"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alcChain>
</file>

<file path=xl/sharedStrings.xml><?xml version="1.0" encoding="utf-8"?>
<sst xmlns="http://schemas.openxmlformats.org/spreadsheetml/2006/main" count="3660" uniqueCount="1176">
  <si>
    <t>Service Providers</t>
  </si>
  <si>
    <t>Description</t>
  </si>
  <si>
    <t>Primary Service Provider Type</t>
  </si>
  <si>
    <t>Employees</t>
  </si>
  <si>
    <t>HQ Location</t>
  </si>
  <si>
    <t>HQ Country/Territory/Region</t>
  </si>
  <si>
    <t>HQ Global Region</t>
  </si>
  <si>
    <t>HQ Global Sub Region</t>
  </si>
  <si>
    <t>Website</t>
  </si>
  <si>
    <t>JP Morgan Chase (NYS: JPM)</t>
  </si>
  <si>
    <t/>
  </si>
  <si>
    <t>Founded in 1877, JPMorgan Chase &amp; Company is an investment bank, headquartered in New York City, New York. The firm serves consumers and small businesses, as well as commercial banking and financial transaction processing, offering business advice and strategies and providing innovative banking solutions and asset management. The firm caters to clients in the textiles, forestry, utilities, energy, healthcare, retail, and transportation industries.</t>
  </si>
  <si>
    <t>Investment Bank</t>
  </si>
  <si>
    <t>New York, NY</t>
  </si>
  <si>
    <t>United States</t>
  </si>
  <si>
    <t>Americas</t>
  </si>
  <si>
    <t>North America</t>
  </si>
  <si>
    <t>Morgan Stanley (NYS: MS)</t>
  </si>
  <si>
    <t>Founded in 1935, Morgan Stanley is an investment bank based in New York City, New York. The firm's service areas include investment banking, prime brokerage, research, institutional consulting, and private wealth management. The firm serves a diversified group of corporations, governments, financial institutions, and individuals. The firm caters to energy, financial services, healthcare, information technology, consumer products, business products, services, manufacturing, cybersecurity, and life sciences sectors.</t>
  </si>
  <si>
    <t>The Goldman Sachs Group (NYS: GS)</t>
  </si>
  <si>
    <t>Founded in 1869, The Goldman Sachs Group is an investment banking, securities, and investment management firm headquartered in New York City, New York. The firm provides advisory services in areas such as mergers and acquisitions, divestitures, corporate defense activities, restructurings, spin-offs, and underwriting services such as public offerings, convertible and exchangeable securities, investment-grade debt, high-yield debt, emerging market debt, sovereign, municipal debt, bank loans, asset-backed securities, and real estate-related securities. Goldman Sachs offers services to corporations, financial institutions, governments, and high-net-worth individuals worldwide serving within the healthcare, information technology, communications, energy, and transportation sectors.</t>
  </si>
  <si>
    <t>DLA Piper (London)</t>
  </si>
  <si>
    <t>Founded in 2005, DLA Piper is a law firm headquartered in London, United Kingdom. The firm offers services in the areas of corporate, securities disputes, debt capital, equity capital markets, international corporate reorganizations, investment management and funds, private equity, public company advisory, mergers and acquisitions, venture capital, private and public equity, technology, and commercial transactions. DLA Piper caters to consumer goods, energy, financial services, hospitality, industrials, debt offerings, management teams, lending, derivatives, funds, and portfolios.</t>
  </si>
  <si>
    <t>Law Firm</t>
  </si>
  <si>
    <t>London, United Kingdom</t>
  </si>
  <si>
    <t>United Kingdom</t>
  </si>
  <si>
    <t>Europe</t>
  </si>
  <si>
    <t>Western Europe</t>
  </si>
  <si>
    <t>Citigroup (NYS: C)</t>
  </si>
  <si>
    <t>Founded in 1812, Citigroup is a global commercial bank headquartered in New York City, New York. The firm provides consumers, corporations, governments, and institutions with a broad range of financial products and services, including consumer banking credit, corporate, investment banking, securities brokerage, transaction services, and wealth management. Citigroup serves as a partner to its clients by providing financial services that enable growth and economic progress. Citigroup operates via two primary business segments: Global and Consumer Banking and Institutional Clients Group.</t>
  </si>
  <si>
    <t>Lender</t>
  </si>
  <si>
    <t>Barclays (LON: BARC)</t>
  </si>
  <si>
    <t>Founded in 1896, Barclays is a multinational commercial banking and financial services company headquartered in London, United Kingdom. The firm provides banking, loans, strategic advisory, financing, wealth management, and risk management services to corporate, government, and institutional clients. This firm also caters to the energy, financial services, healthcare, business, consumer products, and services sectors, among others.</t>
  </si>
  <si>
    <t>Commercial Bank</t>
  </si>
  <si>
    <t>International Finance (Washington D.C.)</t>
  </si>
  <si>
    <t>Founded in 1956, International Finance Corporation is a lending firm headquartered in Washington, District of Columbia. The firm provides loans, equity, investment services, advisory services, and IFC asset management services to businesses and governments. The firm is a provider of capital, knowledge, and long-term partnerships that can help address constraints in areas such as finance, infrastructure, employee skills, and the regulatory environment. The firm raises capital through bond issuance, invests globally, and manages liquid assets.</t>
  </si>
  <si>
    <t>Fund Administrator</t>
  </si>
  <si>
    <t>Washington, DC</t>
  </si>
  <si>
    <t>Credit Suisse</t>
  </si>
  <si>
    <t>Established in 1856, Credit Suisse Group was a global financial services firm headquartered in Zurich, Switzerland. The firm's investment banking division provided a broad range of financial products and services, in areas such as equity and debt underwriting, common and convertible stock issues, acquisition financing, mergers and acquisitions, corporate sales, restructurings, divestitures, and takeovers. Credit Suisse catered to industries including materials and resources, information technology, education, healthcare, energy, retail, commercial services, and financial services.</t>
  </si>
  <si>
    <t>Zurich, Switzerland</t>
  </si>
  <si>
    <t>Switzerland</t>
  </si>
  <si>
    <t>PricewaterhouseCoopers</t>
  </si>
  <si>
    <t>Founded in 1998, PwC is a network of professional services firms based in London, United Kingdom. The firm provides audit, accounting, financial, tax, due diligence, valuation, human resources, and forensic services to its clients. The firm also caters to clients in the automotive, hospitality and leisure, entertainment, technology, media, financial services, real estate, transportation, logistics, and retail sectors.</t>
  </si>
  <si>
    <t>Accounting/Auditor</t>
  </si>
  <si>
    <t>Matouk Bassiouny</t>
  </si>
  <si>
    <t>Founded in 2005, Matouk Bassiouny is a law firm headquartered in Cairo, Egypt. The practice area of the firm includes corporate, mergers and acquisitions, finance and projects, capital markets, and dispute resolution.</t>
  </si>
  <si>
    <t>Cairo, Egypt</t>
  </si>
  <si>
    <t>Egypt</t>
  </si>
  <si>
    <t>Africa</t>
  </si>
  <si>
    <t>Northern Africa</t>
  </si>
  <si>
    <t>Allen &amp; Overy</t>
  </si>
  <si>
    <t>Established in 1930, Allen &amp; Overy was a law firm headquartered in London, United Kingdom. The firm offered legal advisory services in the areas of joint ventures, mergers, and acquisitions, private equity, initial public offering, equity bridge financing, tax, intellectual property, debt financings, private placements, and reverse takeovers. Allen &amp; Overy catered to sectors including energy, telecommunications, media, manufacturing, metals and mining, life sciences, real estate, retail, and technology, among others. Allen &amp; Overy and Shearman &amp; Sterling merge and form A&amp;O Shearman on May 1, 2024.</t>
  </si>
  <si>
    <t>Belfast, United Kingdom</t>
  </si>
  <si>
    <t>ASAFO</t>
  </si>
  <si>
    <t>ASAFO is a law firm headquartered in Abidjan, Ivory Coast. The firm practices in matters of mergers, acquisitions, private equity, leveraged buyouts, corporate restructurings, project finance, dispute resolution, international arbitration, joint ventures, strategic alliances, funds, intellectual property, and licensing agreements. ASAFO caters to the energy, mining, financial services, technology, and real estate industries.</t>
  </si>
  <si>
    <t>Abidjan, Ivory Coast</t>
  </si>
  <si>
    <t>Ivory Coast</t>
  </si>
  <si>
    <t>Western Africa</t>
  </si>
  <si>
    <t>Deloitte Touche Tohmatsu</t>
  </si>
  <si>
    <t>Established in 1845, Deloitte is a professional services firm headquartered in London, United Kingdom. The firm offers accounting, auditing, risk management, and taxation services. Deloitte advises clients in sectors including consumer business, energy and resources, financial services, life sciences and healthcare, manufacturing, the public sector, technology, media, and telecommunications, among others. Additionally, the firm also provides advisory on mergers and acquisitions, restructurings, and capital-raising transactions.</t>
  </si>
  <si>
    <t>Deutsche Bank (ETR: DBK)</t>
  </si>
  <si>
    <t>Established in 1870, Deutsche Bank is a commercial bank headquartered in Frankfurt, Germany. The bank specializes in asset management, retail banking, private wealth management, private banking, and transaction banking. DB caters to the financial institutions, healthcare, media and telecom, natural resources, real estate, and technology sectors. DB also assists corporations, governments, institutional investors, small and medium-sized businesses, and private individuals.</t>
  </si>
  <si>
    <t>Frankfurt, Germany</t>
  </si>
  <si>
    <t>Germany</t>
  </si>
  <si>
    <t>UBS Group (SWX: UBSG)</t>
  </si>
  <si>
    <t>Founded in 1998, UBS Group is an investment banking firm headquartered in Zurich, Switzerland. The firm is engaged in providing retail banking, corporate and institutional banking, and investment banking services. The firm focuses on providing various financial advisory services in the areas of mergers and acquisitions, private placements, brokerage, equity swaps, equity and debt trading, risk management, credit financing, and capital market financing. The firm provides asset management and wealth management services for corporations, institutions, governments, bankers, and brokers.</t>
  </si>
  <si>
    <t>White &amp; Case</t>
  </si>
  <si>
    <t>Founded in 1901, White &amp; Case is a law firm headquartered in New York City, New York. This firm's clients include public and privately held commercial businesses, financial institutions, governments, and state-owned entities. This firm's corporate practice includes advising clients on mergers, acquisitions, joint ventures, recapitalization, buyouts, bankruptcy, and capital raising. This firm caters to sectors like healthcare, energy, media, transportation, commercial banks, financial services, information technology, and capital markets.</t>
  </si>
  <si>
    <t>Ernst &amp; Young Global</t>
  </si>
  <si>
    <t>Established in 1903, Ernst &amp; Young is an accounting and auditing firm based in London, United Kingdom. EY provides a wide array of services such as assurance, private equity, taxation, enterprise risk management, valuations, and business modeling. The firm also offers services including transaction support, mergers and acquisitions, family business services, real estate advisory services, technology, and security risk. The firm also advises in matters related to venture capital, initial public offerings, human law, tax accounting, restructurings, and entrepreneurial services. EY caters to the automotive, consumer products, clean technology, telecommunications, life sciences, entertainment, mining and metals, oil and gas, financial services, and information technology sectors.</t>
  </si>
  <si>
    <t>Bank of America (NYS: BAC)</t>
  </si>
  <si>
    <t>Founded in 1998, Bank of America is a commercial banking firm headquartered in Charlotte, North Carolina. The bank serves corporations, governments, institutions, and individuals by providing them with a full range of banking, investing, asset management, and risk management products, and services. The bank provides wealth management, corporate banking, and trading across a range of asset classes. Bank of America aids its customers by providing retail, preferred small business, and trust services for individuals along with business banking, global commercial banking, and global corporate and investment banking for companies.</t>
  </si>
  <si>
    <t>Charlotte, NC</t>
  </si>
  <si>
    <t>ENSafrica Group</t>
  </si>
  <si>
    <t>Established in 1905, Edward Nathan Sonnenberg is an independent law firm with fully integrated offices across Southern, West, and East Africa headquartered in Nairobi, Kenya. The firm's areas of expertise include asset finance, corporate finance, corporate governance, mergers and acquisitions, private equity, forensics, constitutional, anti-bribery compliance, public-private partnerships, and retirement funds among others. ENSafrica caters to sectors such as information technology law, media, oil and gas, insurance, aviation, banking and finance, mine and occupational health and safety, mining, natural resources, real estate, retail, fintech, infrastructure, shipping, ports, and logistics among others.</t>
  </si>
  <si>
    <t>Nairobi, Kenya</t>
  </si>
  <si>
    <t>Kenya</t>
  </si>
  <si>
    <t>Eastern Africa</t>
  </si>
  <si>
    <t>HSBC Holdings (LON: HSBA)</t>
  </si>
  <si>
    <t>Founded in 1865, HSBC Holdings is a commercial banking firm headquartered in London, United Kingdom. The bank provides a range of personal and business banking products and services, including current and savings accounts, mortgages and loans, credit and debit cards, local and international payment services, asset management, and financial planning services. HSBC Holdings caters to sectors of healthcare, energy, manufacturing, and life sciences.</t>
  </si>
  <si>
    <t>Nedbank (JSE: NED)</t>
  </si>
  <si>
    <t>Founded in 1888, Nedbank is a commercial banking institution based in Sandton, South Africa. The bank offers a wide range of wholesale and retail banking services through its main business clusters, namely Nedbank Corporate and Investment Banking, Nedbank Retail and Business Banking, and Nedbank Wealth. Nedbank Group provides retail and wholesale banking services to its clients through structuring, lending, underwriting, and trading businesses. Additionally, the bank offers credit finance, investing, insuring, and trading services to the agriculture, medical, infrastructure, energy, mining, accounting, transportation, legal, and professional services sectors.</t>
  </si>
  <si>
    <t>Sandown, South Africa</t>
  </si>
  <si>
    <t>South Africa</t>
  </si>
  <si>
    <t>Southern Africa</t>
  </si>
  <si>
    <t>U.S. International Development Finance Corporation</t>
  </si>
  <si>
    <t>Founded in 2019, the U.S. International Development Finance Corporation is the U.S. Government's development financial institution and is based in Washington, District of Columbia. DFC invests across sectors including climate, information and communications technology, education, energy, healthcare, infrastructure, agriculture, and food security and also provides financing for small businesses and women entrepreneurs. The firm offers debt financing, equity investments, investment funds, political risk insurance, and technical assistance.</t>
  </si>
  <si>
    <t>Webber Wentzel</t>
  </si>
  <si>
    <t>Founded in 1868, Webber Wentzel is a law firm headquartered in Johannesburg, South Africa. The firm offers legal advisory services in the areas of alternative legal services, banking, and finance, antitrust and competition, capital markets, corporate, commercial, data protection, information management, financial services regulations, fund formation, disputes, intellectual property, international trade, and restructuring. The firm also caters to the agribusiness, food and beverages, energy, infrastructure, financial services, fin-tech, healthcare, hospitality and leisure, industrials, mining, retail, telecommunication, media and technology, and transport sectors.</t>
  </si>
  <si>
    <t>Johannesburg, South Africa</t>
  </si>
  <si>
    <t>BNP Paribas (PAR: BNP)</t>
  </si>
  <si>
    <t>Founded in 1847, BNP Paribas is an international commercial bank headquartered in Paris, France. The firm provides a wide range of financial services such as mergers, acquisitions, primary equity market transactions, mortgages, and privatizations. The firm also arranges equity, secondary issue placements, convertible bonds, flotations, and structures financing arrangements such as syndicated loans, acquisitions, and leveraged buyouts. The firm operates globally, offering various investment products such as mutual funds, life insurance, real estate credit, and securities to its clients, which include issuers, financial intermediaries, and institutional investors. The firm caters to industries including healthcare, energy, legal services, materials, resources, information technology, and financial services.</t>
  </si>
  <si>
    <t>Paris, France</t>
  </si>
  <si>
    <t>France</t>
  </si>
  <si>
    <t>Cardinalstone Partners</t>
  </si>
  <si>
    <t>CardinalStone Partners is a financial advisory and investment banking firm, founded in 2008 and based in Lagos, Nigeria. The firm offers advisory services in the areas of mergers, acquisitions, joint ventures, structured finance, initial public offerings, recapitalization, spin-off, and bankruptcy. The firm caters to industries such as business products services, consumer products services, financial services, and energy.</t>
  </si>
  <si>
    <t>Financing Advisory</t>
  </si>
  <si>
    <t>Lagos, Nigeria</t>
  </si>
  <si>
    <t>Nigeria</t>
  </si>
  <si>
    <t>Investec (LON: INVP)</t>
  </si>
  <si>
    <t>Founded in 1974, Investec is a financial advisory based in London, United Kingdom. The firm provides a diverse range of financial services which include corporate governance, asset and wealth management, tax planning, private banking services, savings accounts, bank deposits, foreign exchange services, structured products and investment funds, property finance, mortgages, and lending, investment management services, financial planning, and offshore banking services. Investec also provides corporate and institutional banking services including senior secured loans, cash management, debt capital market, investment banking, corporate debt, and equity, structured equity derivatives, asset finance and leasing, fund and property finance, financial mutual services, infrastructure, resource, and export finance among others. The firm caters to industries including hospitality, retail, energy, information technology, consulting services, financial services, construction, engineering, real estate, food, healthcare, biotechnology, electronics, and mining.</t>
  </si>
  <si>
    <t>J.P. Morgan</t>
  </si>
  <si>
    <t>Founded in 1822, J.P. Morgan is an investment banking firm headquartered in New York City, New York. The firm offers services in financial transaction processing, asset management, markets and investors, private banking, wealth management, brokerage, and private equity. J.P. Morgan's capital market and investment banking division provides initial public offerings, convertible issues, private placements, debt, mergers and acquisitions structuring, liquidity management, and cost of capital services. J.P. Morgan serves the needs of clients worldwide across consumer, retail, energy, financial institutions and governments, healthcare, real estate, lodging, technology, media, oil and gas, and telecommunication sectors.</t>
  </si>
  <si>
    <t>KPMG</t>
  </si>
  <si>
    <t>Founded in 1987, KPMG is a global network of independent member firms offering audit and assurance, tax and legal, and advisory services. The firm's clients include business corporations, governments, public sector agencies, and not-for-profit organizations. KPMG caters to the financial services, software, electronics, industrial, automotive products, chemicals, energy, transportation, food and beverages, infrastructure, and healthcare sectors.</t>
  </si>
  <si>
    <t>Amsterdam, Netherlands</t>
  </si>
  <si>
    <t>Netherlands</t>
  </si>
  <si>
    <t>Orrick</t>
  </si>
  <si>
    <t>Founded in 1863, Orrick is a law firm based in San Francisco, California. The firm's service areas include antitrust, competition, global compliance, intellectual property, litigation, tax, white-collar crimes, mergers and acquisitions, private equity, structured finance, and capital market transactions. The firm caters to technology, energy, innovation, infrastructure, software, and finance sectors.</t>
  </si>
  <si>
    <t>San Francisco, CA</t>
  </si>
  <si>
    <t>Proparco</t>
  </si>
  <si>
    <t>Established in 1977, Proparco is a lender headquartered in Paris, France. The firm assists financial institutions and corporate private-sector projects. Proparco provides financing in the form of loans, guarantees, equity, and quasi-equity solutions. The firm focuses on key development sectors, such as infrastructure, especially for renewable energies and energy efficiency, agriculture and agro-industry, banks, financial markets, and microfinance, health, and education sectors.</t>
  </si>
  <si>
    <t>Wells Fargo (NYS: WFC)</t>
  </si>
  <si>
    <t>Founded in 1852, Wells Fargo is a commercial and investment bank headquartered in San Francisco, California. The bank provides financial services such as insurance, investments, mortgage banking, cash management, investment banking, retail banking, brokerage, and consumer financing to individuals, businesses, and institutions. The bank offers financial planning, private banking, credit, and investment management, fiduciary services, as well as retirement and trust services to its clients The firm also provides asset-based lending services, senior secured lending services, accounts receivable and purchase order finance services, and channel finance services through subsidiaries.</t>
  </si>
  <si>
    <t>Wilson Sonsini</t>
  </si>
  <si>
    <t>Founded in 1961, Wilson Sonsini Goodrich &amp; Rosati is a law firm headquartered in Palo Alto, California. The firm services in the areas of corporate law and governance, public and private offerings of equity and debt securities, mergers and acquisitions, securities class action litigation, intellectual property litigation, antitrust counseling and litigation, joint ventures and strategic alliances, technology licensing and other intellectual property transactions, tax, and employee benefits and employment law. WSGR caters to information technology, aviation, life sciences, energy and clean technology, media and entertainment, communications, retail, and financial services sectors industries.</t>
  </si>
  <si>
    <t>Palo Alto, CA</t>
  </si>
  <si>
    <t>Clifford Chance</t>
  </si>
  <si>
    <t>Founded in 1987, Clifford Chance is a law firm headquartered in London, United Kingdom. The firm provides legal services in the areas of mergers and acquisitions, joint ventures, initial public offerings, insurance, private equity, real estate, litigation, pensions, and tax. Clifford Chance caters to sectors including banking, retail, healthcare, life sciences, chemicals, telecommunications, media, technology, transportation, and logistics.</t>
  </si>
  <si>
    <t>Dentons</t>
  </si>
  <si>
    <t>Founded in 2013, Dentons is a law firm headquartered in London, United Kingdom. The firm's practice areas include venture technology, corporate, mergers and acquisitions, private equity, employment and labor, data privacy, intellectual property, immigration, corporate governance, litigation and arbitration, tax, and employee benefits. Also, Dentons Venture Technology Group offers counsel to tech companies and venture investors. The firm caters to distribution, information technology, healthcare, insurance, media, hospitality, retail, energy, utilities, aerospace, defense, legal services, environmental services, consulting services, construction, and engineering.</t>
  </si>
  <si>
    <t>Chicago, IL</t>
  </si>
  <si>
    <t>EFG Holding (CAI: HRHO)</t>
  </si>
  <si>
    <t>Founded in 1980, EFG Holding is a financial services firm headquartered in Cairo, Egypt. The firm provides services in the areas of offering securities brokerage, research, investment banking, asset management, and private equity services across markets. The firm's investment banking sector offers a comprehensive range of mergers and acquisitions, equity, and debt advisory services. EFG Holdings also provides advisory services in the areas of initial public offerings, rights issues, secondary offerings, private placements, deal execution, and developing fairness opinions. The industries in which the firm represents clients include food and beverages, retail, real estate, automotive, oil and gas, energy, and textiles.</t>
  </si>
  <si>
    <t>Freshfields</t>
  </si>
  <si>
    <t>Founded in 2000, Freshfields Bruckhaus Deringer is a law firm headquartered in London, United Kingdom. The firm provides legal services in antitrust, real estate, joint ventures, securities offerings, international and domestic arbitration, insolvency, and restructuring. Additional service areas include intellectual property and tax, private equity, infrastructure and transport, real estate, energy, and natural resources, telecommunications, consumer products, logistics, and healthcare sectors. The firm caters to industries including healthcare, information technology, materials, resources, energy, media, financial services, and transportation.</t>
  </si>
  <si>
    <t>Gunderson Dettmer</t>
  </si>
  <si>
    <t>Founded in 1995, Gunderson Dettmer is a boutique law firm headquartered in Redwood City, California. The firm provides services in fund formation, executive compensation, mergers and acquisitions, venture and growth financings, public offerings, employment law, strategic partnerships, licensing, commercial transactions, data privacy, and tax. The firm caters to an array of industries, including cleantech, manufacturing, life sciences, oncology, mobile, and cybersecurity sectors among others.</t>
  </si>
  <si>
    <t>Redwood City, CA</t>
  </si>
  <si>
    <t>H.C. Wainwright &amp; Co.</t>
  </si>
  <si>
    <t>Established in 1868, H.C. Wainwright &amp; Co. is an investment bank headquartered in New York City, New York. The firm provides services in areas such as equity offerings, debt issuances, derivative transactions, private investments in public equity, due diligence, capital raisings, advisory services, and research.</t>
  </si>
  <si>
    <t>Indiegogo</t>
  </si>
  <si>
    <t>Founded in 2007, Indiegogo is a crowdfunding platform, headquartered in San Francisco, California. The firm provides a platform for people and entities seeking to raise funds for their campaigns and to contribute to the campaigns of others. The firm is the place for entrepreneurial projects to move quickly from concept to market. Indiegogo also caters to clients in the retail, energy, healthcare, media, gaming, and software as a service industries, among others.</t>
  </si>
  <si>
    <t>Funding/Crowdfunding Platform</t>
  </si>
  <si>
    <t>Jefferies Financial Group (NYS: JEF)</t>
  </si>
  <si>
    <t>Established in 1962, Jefferies Financial Group is an investment bank headquartered in New York City, New York. The firm provides sales and trading, research, and asset management services to corporate clients, institutional investors, and high-net-worth individuals. Jefferies specializes in an array of sectors, including aerospace and defense, business services, consumer energy, financial services, gaming and leisure, healthcare, industrials, maritime, media, real estate and lodging, technology, and telecommunications, with a dedicated private equity coverage group.</t>
  </si>
  <si>
    <t>Rand Merchant Bank</t>
  </si>
  <si>
    <t>Founded in 1977, Rand Merchant Bank is a merchant banking firm based in Johannesburg, South Africa. The bank offers advisory, funding, trading, corporate banking, and principal investing services to clients. In addition, the firm advises in corporate finance, mergers and acquisitions, equity capital markets, and debt restructuring. The products and services of the bank include structured asset finance, debt capital markets, equity capital markets, infrastructure finance, real estate finance, resource finance, and structured lending.</t>
  </si>
  <si>
    <t>Simpson Thacher &amp; Bartlett</t>
  </si>
  <si>
    <t>Founded in 1884, Simpson Thacher &amp; Bartlett is a law firm headquartered in New York City, New York. The firm advises on mergers, acquisitions, private placement, joint ventures, private equity, venture capital transactions, and initial public offerings. The firm caters to the healthcare, education, real estate, energy, food, beverages, apparel, manufacturing, medical products, and infrastructure sectors.</t>
  </si>
  <si>
    <t>Baker McKenzie</t>
  </si>
  <si>
    <t>Established in 1949, Baker &amp; McKenzie is a full-service law firm headquartered in Chicago, Illinois. The firm practices in antitrust, competition, capital markets, compliance, investigations, dispute resolution, employment, compensation, international commercial, trade, mergers, acquisitions, private equity, restructuring, and insolvency. The firm caters to sectors such as consumer goods and retail, energy, mining, infrastructure, financial institutions, finance, banking, healthcare, hotels, resorts, tourism, industrials, manufacturing, transportation, real estate, technology, media, and telecommunications.</t>
  </si>
  <si>
    <t>Emerge Group (Morocco)</t>
  </si>
  <si>
    <t>Founded in 2018, Emerge Group (Morocco) is a financial advisory firm headquartered in Casablanca, Morocco. The firm provides consulting services in mergers and acquisitions, the finances of the firm, and strategy formulation. The firm caters to clients in the healthcare, insurance, automotive, life science, and manufacturing industries among others.</t>
  </si>
  <si>
    <t>Casablanca, Morocco</t>
  </si>
  <si>
    <t>Morocco</t>
  </si>
  <si>
    <t>Inventus Law</t>
  </si>
  <si>
    <t>Established in 2009, Inventus Law is a global technology law firm, headquartered in San Francisco, California. This firm represents startup companies, founders, angel investors, incubators, accelerators, venture capitalists, and private equity investors. The firm offers services in all aspects of general corporate, commercial, and intellectual property laws, from a startup company's formation, seed financing, venture financing, strategic transactions, and mergers and acquisitions.</t>
  </si>
  <si>
    <t>Pharos Holding for Financial Investments</t>
  </si>
  <si>
    <t>Established in 2005, Pharos Holding for Financial Investments is an investment bank headquartered in Cairo, Egypt. The firm assists its clients in the areas of mergers and acquisitions, restructurings, initial public offerings secondary offerings, private placements, equity raising, and buyouts. In addition, Pharos Holding offers services in the areas of securities brokerage and asset management. The firm caters to clients in the food and beverage, construction and real estate, banking and finance, automotive, healthcare, retail, education, and oil and gas sector, among many others.</t>
  </si>
  <si>
    <t>Renaissance Financial Holdings</t>
  </si>
  <si>
    <t>Founded in 1995, Renaissance Financial Holdings is an investment banking firm headquartered in Nicosia, Cyprus. The firm's services include equity capital markets, debt capital markets, mergers and acquisitions, equity, foreign exchange, interest rate derivatives, repurchase agreements, and financings. Renaissance Capital caters to markets across the globe with operations in Africa, Central, and Eastern Europe, North America, and the Middle East.</t>
  </si>
  <si>
    <t>Nicosia, Cyprus</t>
  </si>
  <si>
    <t>Cyprus</t>
  </si>
  <si>
    <t>Eastern Europe</t>
  </si>
  <si>
    <t>Republic</t>
  </si>
  <si>
    <t>Founded in 2016, Republic is an equity crowdfunding platform based in New York City, New York. The firm's clients include venture capital firms, family offices, and high net-worth individuals, and they receive funding across startups, gaming, real estate, and cryptocurrencies.</t>
  </si>
  <si>
    <t>SHONA Capital</t>
  </si>
  <si>
    <t>Founded in 2013, SHONA Capital is an investment firm based in Kampala, Uganda. The firm provides financing in the form of small, and medium enterprises spark loans, business growth loans, revolving lines of credit, refinancing, business advisory, business growth, and revenue growth.</t>
  </si>
  <si>
    <t>Kampala, Uganda</t>
  </si>
  <si>
    <t>Uganda</t>
  </si>
  <si>
    <t>Thompson Legal Advisory Services</t>
  </si>
  <si>
    <t>Founded in 2000, Thompson Legal Advisory Services is a boutique law firm headquartered in San Francisco, California. The firm provides legal advisory services in the areas such as mergers and acquisitions, divestitures, venture capital, seed financing, private equity, debt transactions, entity formations, licensing and contracts, SEC compliance, and advisory. The firm caters to venture capital, strategic and angel investors as well as start-ups.</t>
  </si>
  <si>
    <t>Zaki Hashem &amp; Partners</t>
  </si>
  <si>
    <t>Founded in 1953, Zaki Hashem &amp; Partners is a law firm headquartered in Cairo, Egypt. The firm provides services in areas such as arbitration, competition, corporate law, commercial law, international trade, labor, and employment law, mergers, acquisitions, taxation, joint ventures, initial public offerings, bonds, and private placements. The firm caters to the energy, oil, gas, construction, insurance, banking, financial, real estate, and telecommunication industries.</t>
  </si>
  <si>
    <t>Zulficar and Partners Law Firm</t>
  </si>
  <si>
    <t>Founded in 2009, Zulficar and Partners is a law firm headquartered in Cairo, Egypt. The firm provides services in the areas of general corporate and capital market transactions, mergers and acquisitions, project finance and public-private partnership, banking, credit, and corporate finance, oil and gas, construction and real estate, dispute resolution, employment, social security and benefits, antitrust, competition, and trade, information technology, telecommunications, intellectual property, tax, hospitality and tourism, agency and distribution.</t>
  </si>
  <si>
    <t>African Development Bank</t>
  </si>
  <si>
    <t>The African Development Bank is a commercial bank and an economic development agency founded in 1964 and based in Abidjan, Ivory Coast. The bank is a multilateral development financial institution, comprising of three distinct entities namely the African Development Bank, the parent institution, and two affiliates, the African Development Fund and the Nigerian Trust Fund. The overall objective of the African Development Bank Group is to support the economic development and social progress of African countries individually and collectively, by promoting the investment of public and private capital in projects and programs designed to reduce poverty and improve living conditions. The bank is managed and administered by the board of governors. The bank provides debt financing facilities such as loans to small and medium-sized companies. The bank caters to industries such as transportation, agriculture, climate change, gender, economic and financial governance, education, energy &amp; power, environment, human capital development, health, private sector, and many others.</t>
  </si>
  <si>
    <t>Banwo &amp; Ighodalo</t>
  </si>
  <si>
    <t>Founded in 1991, Banwo &amp; Ighodalo is a law firm headquartered in Lagos, Nigeria. The firm's practice areas include capital markets, securities, mergers and acquisitions, commercial litigation, corporate finance and restructuring, project finance, foreign investment and divestment, shipping, aviation and international trade, energy and natural resources, and intellectual property.</t>
  </si>
  <si>
    <t>Bowie &amp; Jensen</t>
  </si>
  <si>
    <t>Formed in 1996, Bowie &amp; Jensen is a full-service business law firm based in Towson, Maryland. The firm provides legal services in the areas of mergers and acquisitions, commercial litigation, commercial real estate, construction law, employment law, estate and trusts, intellectual property, tax and corporate law, and technology and privacy law.</t>
  </si>
  <si>
    <t>Towson, MD</t>
  </si>
  <si>
    <t>BTIG</t>
  </si>
  <si>
    <t>Founded in 2002, BTIG is an investment banking firm headquartered in San Francisco, California. The firm specializes in institutional trading, investment banking, research, and related brokerage services. BTIG offers execution, expertise, and insights for equities, equity derivatives, exchange-traded funds, fixed income, currency, and commodities. The firm's core capabilities include global execution, portfolio, electronic and outsourced trading, investment banking, prime brokerage, capital introduction, corporate access, research, strategy, commission management, and more.</t>
  </si>
  <si>
    <t>Carnegie Investment Bank</t>
  </si>
  <si>
    <t>Founded in 1803, Carnegie Investment Bank is an investment banking firm headquartered in Stockholm, Sweden. The firm provides various services such as mergers and acquisitions, private placement of debt and equity, initial public offerings, fundraising advisory, securities brokerage, financial advisory, and wealth management services. Carnegie also offers services in the areas of private banking, funds, brokerage, and sales trading.</t>
  </si>
  <si>
    <t>Stockholm, Sweden</t>
  </si>
  <si>
    <t>Sweden</t>
  </si>
  <si>
    <t>Northern Europe</t>
  </si>
  <si>
    <t>Centerview Partners</t>
  </si>
  <si>
    <t>Founded in 2006, Centerview Partners is an investment bank and financing advisory firm headquartered in New York City, New York. The firm provides advisory services on mergers, acquisitions, financial restructurings, management buyouts, debt capacity, valuation analysis, recapitalization, liability management, and capital structure evaluations to companies, institutions, and governments.</t>
  </si>
  <si>
    <t>Cliffe Dekker Hofmeyr</t>
  </si>
  <si>
    <t>Cliffe Dekker Hofmeyr is a law firm, founded in 1853 and headquartered in Johannesburg, South Africa. The firm provides legal services in areas such as mergers, acquisitions, corporate law, debt market, commercial law, dispute resolution, employment law, environmental law, trusts and estates, and tax. Cliffe Dekker Hofmeyr caters to sectors such as agriculture, aviation, construction and engineering, private equity, technology, industrial, manufacturing, education and training, energy, financial services, mining and minerals, oil and gas, and healthcare.</t>
  </si>
  <si>
    <t>Clyde &amp; Company</t>
  </si>
  <si>
    <t>Founded in 1933, Clyde &amp; Company is a law firm based in London, United Kingdom. The firm's practice areas include corporate and commercial law, real estate, data protection, employment pensions and immigration, finance, insolvency and reorganization, mergers and acquisitions, intellectual property, and many other related services. Clyde caters to industries including aviation and aerospace, healthcare, infrastructure, marine, mining, natural resources, oil and gas, professional practices, retail, consumer, energy, trade, and commodities.</t>
  </si>
  <si>
    <t>Coast2Coast Capital</t>
  </si>
  <si>
    <t>Other Service Provider Type</t>
  </si>
  <si>
    <t>Cape Town, South Africa</t>
  </si>
  <si>
    <t>Deutsche Bank Securities</t>
  </si>
  <si>
    <t>Established in 1973, Deutsche Bank Securities is an investment bank headquartered in New York City, New York. The firm is the United States investment banking arm of the German bank Deutsche Bank. The firm offers underwriting, financial advisory services, and mergers and acquisitions assistance. Deutsche Bank Securities also provides investment products, brokerage, and financial advisory to wealthy individual investors through its Deutsche Bank Alex. Brown division. The firm caters to consumer and retail services, financial services, healthcare, industrials, media and telecommunications, real estate, gaming, lodging, and leisure sectors.</t>
  </si>
  <si>
    <t>European Investment Bank</t>
  </si>
  <si>
    <t>Founded in 1958, the European Investment Bank is a lending firm headquartered in Luxembourg City, Luxembourg. The firm offers loans, senior debt, subordinated debt, mezzanine finance, micro-finance development, risk-sharing finance for research and innovation projects, finance and technical expertise for sustainable energy projects, infrastructure project advisory services, finance and expertise for sustainable investment projects, and funding for public-private partnerships and small and medium-sized enterprises.</t>
  </si>
  <si>
    <t>Mezzanine</t>
  </si>
  <si>
    <t>Luxembourg, Luxembourg</t>
  </si>
  <si>
    <t>Luxembourg</t>
  </si>
  <si>
    <t>Evercore Group (NYS: EVR)</t>
  </si>
  <si>
    <t>Founded in 1995, Evercore Group is an investment banking advisory firm headquartered in New York City, New York. The firm offers investment banking services in mergers and acquisitions, divestitures and restructurings, equity and debt financing, public offerings, private placements, strategic transactions, fairness opinions, equity underwriting, research, and debt/equity capital markets advice. Evercore also offers investment management services in institutional asset management, wealth management, independent fiduciary and trustee services, and private equity funds management. The firm caters to industries including commercial transportation, media, retail, automotive, real estate, financial services, energy, healthcare, and information technology sectors.</t>
  </si>
  <si>
    <t>FMO Entrepreneurial Development Bank</t>
  </si>
  <si>
    <t>Founded in 1970, FMO- Dutch Entrepreneurial Development Bank is a banking institution and an economic development agency based in The Hague, Netherlands. The bank offers a range of financial products, including long-term project financing, private equity, loans, guarantees, capital market transactions, mezzanine, and other forms of financing. FMO- Dutch entrepreneurial development bank invests in businesses, projects, and financial institutions, by providing capital, knowledge, and networks to support their needs. The bank offers direct medium and long-term loans at both fixed and variable interest rates and arranges syndicated loans by bringing together commercial banks, investors, and other development finance institutions. FMO- Dutch entrepreneurial development bank focuses on four sectors, namely energy, agribusiness, infrastructure, manufacturing, and Financial Institutions. In 2006, FMO- a Dutch entrepreneurial development bank adopted the Equator Principles, which rely on the IFC Performance Standards to create a risk management framework for determining, assessing, and managing environmental and social risks in projects.</t>
  </si>
  <si>
    <t>The Hague, Netherlands</t>
  </si>
  <si>
    <t>Freedman + Hilmi</t>
  </si>
  <si>
    <t>Founded in 2018, Freedman + Hilmi is a law firm headquartered in London, United Kingdom. The firm provides services for real estate and corporate finance transactions, particularly complex commercial development and joint ventures.</t>
  </si>
  <si>
    <t>Goodwin Procter</t>
  </si>
  <si>
    <t>Established in 1912, Goodwin is a law firm headquartered in Boston, Massachusetts. The firm's services include corporate, litigation, regulatory, and advisory. The firm caters to clients in life sciences, private, real estate, technology, agribusinesses, banking, cannabis, financial services, digital currency, energy, financial technology, gaming, healthcare, education, hospitality and leisure, investment management, artificial intelligence, machine learning, insurance, mining, pharmaceuticals, real estate investment funds, and tax-exempt organizations.</t>
  </si>
  <si>
    <t>Boston, MA</t>
  </si>
  <si>
    <t>HC Securities &amp; Investment</t>
  </si>
  <si>
    <t>Founded in 1996, HC Securities &amp; Investment is a full-service investment banking firm based in Giza, Egypt. The firm provides investment banking, asset management, securities brokerage, research and custody, and online trading services. HC assists local and regional governmental entities, regional corporations and conglomerates, high-net-worth individuals, and institutional investors. The firm's investment banking services include mergers, acquisitions, debt, initial public offerings, capital raising, and divestitures.</t>
  </si>
  <si>
    <t>Giza, Egypt</t>
  </si>
  <si>
    <t>Hogan Lovells</t>
  </si>
  <si>
    <t>Founded in 1899, Hogan Lovells is a global law firm headquartered in Washington, District of Columbia. The firm practices across a diverse range of areas including banking, insolvency, capital markets, employment, mergers and acquisitions, pensions, private equity, venture capital, real estate, tax, corporate governance, asset finance, intellectual property, Islamic finance, public finance, trade and export, immigration, litigation, patents, licensing, and white-collar defense. Hogan Lovells primarily caters to consumer goods, industrials, education, energy, financial institutions, insurance, life sciences, healthcare, real estate, technology, media, and telecommunication sectors.</t>
  </si>
  <si>
    <t>I&amp;M Burbidge Capital</t>
  </si>
  <si>
    <t>Founded in 2010, I&amp;M Burbidge Capital is a financing advisory firm based in Nairobi, Kenya. The firm specializes in advising businesses in the region on significant capital raising through initial public offerings, private equity, debt, and mergers and acquisition transactions and mainly focuses on mid and large-sized companies.</t>
  </si>
  <si>
    <t>Ibis Consulting Group</t>
  </si>
  <si>
    <t>Framingham, MA</t>
  </si>
  <si>
    <t>Jones Day</t>
  </si>
  <si>
    <t>Founded in 1893, Jones Day is a boutique law firm headquartered in Cleveland, Ohio. The firm provides a wide range of services related to banking and finance, mergers and acquisitions, business restructuring and reorganization, capital raising, intellectual property, taxation, financial litigation, joint ventures, strategic alliances, and buyouts. The firm caters to healthcare, energy, infrastructure, cybersecurity, environment, manufacturing, insurance, real estate, labor and employment, and technology sectors.</t>
  </si>
  <si>
    <t>Kamco Invest (KUW: KAMCO)</t>
  </si>
  <si>
    <t>Founded in 1998 Kamco Investment Company is a regional non banking financial powerhouse headquartered in Kuwait with offices in key regional financial markets, and listed on Boursa Kuwait in 2003. It is an Independently managed subsidiary of KIPCO Group adopting the highest standards of corporate governance and is regulated by the Capital Markets Authority and Central Bank of Kuwait. The Company offers a comprehensive range of investment solutions covering asset management, investment banking, and brokerage.</t>
  </si>
  <si>
    <t>Sharq, Kuwait</t>
  </si>
  <si>
    <t>Kuwait</t>
  </si>
  <si>
    <t>Middle East</t>
  </si>
  <si>
    <t>King &amp; Spalding</t>
  </si>
  <si>
    <t>Established in 1885, King &amp; Spalding is a full-service international law firm, headquartered in Atlanta, Georgia. The firm's practice areas include mergers and acquisitions, private equity, joint ventures, bankruptcy, corporate governance, financial restructuring, public finance, asset management, private funds, political law, public policy, defamation, patents, antitrust, and sponsor finance services. The firm caters to the energy, natural resources, construction, retail, tax, restaurants, private equity and investment funds, real estate, government, healthcare, and insurance sectors.</t>
  </si>
  <si>
    <t>Atlanta, GA</t>
  </si>
  <si>
    <t>Latham &amp; Watkins</t>
  </si>
  <si>
    <t>Founded in 1934, Latham &amp; Watkins is a law firm headquartered in New York City, New York. The firm provides services in mergers and acquisitions, private equity, restructuring, structured finance, bankruptcy, asset-based lending, and litigation. The firm caters to aerospace, defence, and government services, automotive, energy, fintech, insurance, healthcare and life sciences sectors.</t>
  </si>
  <si>
    <t>Los Angeles, CA</t>
  </si>
  <si>
    <t>Loop Capital Markets</t>
  </si>
  <si>
    <t>Founded in 1997, Loop Capital Markets is an investment bank headquartered in Chicago, Illinois. The firm provides capital services for corporate, governmental, and institutional entities worldwide. The firm offers various services, such as fixed-income brokerage services, due diligence, corporate, public finance, corporate divestitures, municipal finance, equity research, securities sales, valuations, trading, fairness opinions, and analytical services.</t>
  </si>
  <si>
    <t>Mizuho Financial Group (TKS: 8411)</t>
  </si>
  <si>
    <t>Founded in 1999, Mizuho Financial Group engages in banking, trust banking, securities, and other businesses related to financial services. The firm provides financial products and services for deposits, lending, and exchange settlement to individuals, small and midsize enterprises, large corporations, financial institutions, public sectors, and foreign corporations, including foreign subsidiaries of Japanese corporations.</t>
  </si>
  <si>
    <t>Tokyo, Japan</t>
  </si>
  <si>
    <t>Japan</t>
  </si>
  <si>
    <t>Asia</t>
  </si>
  <si>
    <t>East Asia</t>
  </si>
  <si>
    <t>MMAN Advocates</t>
  </si>
  <si>
    <t>Founded in 2004, MMAN Advocates is a law firm headquartered in Nairobi, Kenya. The firm provides general advisory and transactional legal services to clients on matters concerning banking and financial law, commercial law, corporate law, employment and pensions, litigation, alternative dispute resolutions, and real estate. The firm provides both local and cross-jurisdictional legal services; either directly or through its international legal networks to individuals, SMEs, large companies and the public sector, many of whom are drawn from our target industry sectors of Agribusiness, Financial Services, Energy, TMT, Retirement Benefits, Transport, Real Estate and Construction.</t>
  </si>
  <si>
    <t>MUFG Bank</t>
  </si>
  <si>
    <t>Founded in 1919, MUFG Bank is a commercial bank based in Tokyo, Japan. The firm offers various banking and financial services to businesses, governments, and individuals worldwide. The bank specializes in providing consumer banking, corporate, investment banking, transaction banking, global markets, yen custody, and payment services to financial institutions. The firm also provides financing, syndication loans, hedging, money market products, liability management services, and other related services. The firm operates as a subsidiary of Mitsubishi UFJ Financial Group.</t>
  </si>
  <si>
    <t>Northland Securities</t>
  </si>
  <si>
    <t>Northland Securities is a full-service investment bank founded in 2002 and based in Minneapolis, Minnesota. The firm provides strategic merger, acquisition, and advisory services, as well as underwriting and placement agent services, to public and emerging private companies. These services include public offerings of equity and convertible securities, direct offerings, and private placements of equity and debt securities. Northland Securities offers industry sector expertise in alternative energy, business services, consumer, healthcare, financials, metals, mining, and technology.</t>
  </si>
  <si>
    <t>Minneapolis, MN</t>
  </si>
  <si>
    <t>Norton Rose Fulbright</t>
  </si>
  <si>
    <t>Founded in 1794, Norton Rose Fulbright is a law firm headquartered in London, United Kingdom. The firm provides a suite of legal services, including antitrust and competition, banking and finance, corporate mergers and acquisitions and securities, dispute resolution, and litigation. The firm caters to banks, energy companies, technology firms, transportation providers, healthcare organizations, and consumer goods businesses.</t>
  </si>
  <si>
    <t>Osler, Hoskin &amp; Harcourt</t>
  </si>
  <si>
    <t>Established in 1862, Osler, Hoskin &amp; Harcourt is a law firm based in Toronto, Ontario. The firm's business-focused practice areas include banking and finance, corporate finance and securities, emerging companies, litigation, cannabis, dispute resolution, and real estate. The firm's corporate finance practice involves advising on private placements, public offerings, mergers, acquisitions, insolvency, restructuring, alternative listing methods such as reverse takeovers, and capital pool company transactions.</t>
  </si>
  <si>
    <t>Toronto, Canada</t>
  </si>
  <si>
    <t>Canada</t>
  </si>
  <si>
    <t>Raisers Partners</t>
  </si>
  <si>
    <t>Founded in 2021, Raisers Partners is a placement agent and advisory firm headquartered in Paris, France. The firm provides services in mergers and acquisitions and fundraising. Raisers Partners cater to fintech, space tech, and deep tech sectors.</t>
  </si>
  <si>
    <t>Scotiabank (TSE: BNS)</t>
  </si>
  <si>
    <t>Founded in 1832, Scotiabank is a commercial banking firm headquartered in Toronto, Canada. The firm provides personal, commercial, corporate, and investment banking products and services. The company offers a wide range of financial advisory services such as wealth management, corporate lending, equity underwriting, currency services, account services, mergers and acquisitions advisory services, retail and commercial banking services, small business credit cards, loans, and retail brokerage services.</t>
  </si>
  <si>
    <t>Sidley</t>
  </si>
  <si>
    <t>Founded in 1866, Sidley Austin is a global law firm headquartered in Chicago, Illinois. The firm provides services in the areas of litigation, antitrust, criminal defence, patent, intellectual property, product liability, international commercial arbitration, dispute resolution, mergers, acquisitions, private equity, venture capital, bankruptcy, insurance, data security, project finance, infrastructure, securities, taxation, trusts, and international trade. The firm caters to various industries including, energy, agribusiness, financial services, real estate, investment funds, life sciences, and technology.</t>
  </si>
  <si>
    <t>Silicon Legal Strategy</t>
  </si>
  <si>
    <t>Founded in 2007, Silicon Legal Strategy is a full-service law firm based in San Francisco, California. The firm provides services in areas such as business entity formation, capitalization strategy, corporate governance, stock opinion plan formation, venture capital funding, debt financing, mergers, acquisition deals, and due diligence. Silicon Legal caters to the needs of technology startups, innovative entrepreneurs, and seasoned investors. Silicon Legal Strategy caters to healthcare, internet, social media, e-commerce, gaming, software, education tech, fintech, the internet of things, and life sciences.</t>
  </si>
  <si>
    <t>Skadden, Arps, Slate, Meagher &amp; Flom</t>
  </si>
  <si>
    <t>Founded in 1948, Skadden, Arps, Slate, Meagher &amp; Flom is a full-service law firm headquartered in New York City, New York. The firm specializes in mergers and acquisitions, finance, litigation, corporate finance, insurance, tax, labor and employment, political law, private equity, corporate, antitrust, white-collar crime, international, regulatory, and legislation. Skadden primarily caters to media, entertainment, healthcare, life sciences, energy, mining, financial services, and communications sectors.</t>
  </si>
  <si>
    <t>Societe Generale (PAR: GLE)</t>
  </si>
  <si>
    <t>Founded in 1864 Societe Generale Group is an investment bank headquartered in Paris, France. The firm focuses on capital markets, securities, underwriting, mergers and acquisitions, derivatives, and trading services. The firm also provides clearing, settlement, and custodial services. SGAM caters to clients in sectors such as financial institutions, oil and gas, utilities, sports and gaming, media and telecom, aerospace, esports, autonomous cars, and multinational corporations.</t>
  </si>
  <si>
    <t>Tanami Financial Advisory Company</t>
  </si>
  <si>
    <t>Founded in 2010, Tanami Financial Advisory Company is a financial advisory firm, based out of Cairo, Egypt. The firm provides advice in matters related to mergers, acquisitions, divestitures, privatization transactions, capital raising, and corporate restructuring. Tanami also provides advice related to private placements, fairness opinion, conduct valuations, debt raising, and debt restructuring.</t>
  </si>
  <si>
    <t>Wyrick Robbins Yates &amp; Ponton</t>
  </si>
  <si>
    <t>Founded in 1979, Wyrick Robbins Yates &amp; Ponton is a law firm headquartered in Raleigh, North Carolina. The firm provides legal services in mergers, acquisitions, capital markets, litigation, labor law, employment law, trademarks, environmental law, administrative law, family law, tax, estates, licensing, technology transactions, and real estate.</t>
  </si>
  <si>
    <t>Raleigh, NC</t>
  </si>
  <si>
    <t>ABSA Bank (JSE: ABSP)</t>
  </si>
  <si>
    <t>Founded in 1991, ABSA Bank is a commercial banking firm headquartered in Johannesburg, South Africa. The firm specializes in digital banking, credit cards, loans, and insurance.</t>
  </si>
  <si>
    <t>Addleshaw Goddard</t>
  </si>
  <si>
    <t>Founded in 2006, Addleshaw Goddard is a law firm headquartered in London, United Kingdom. The firm provides legal and advisory services across the United Kingdom. The firm specialises in banking, finance, corporate finance, litigation and dispute resolution, and employment and immigration. Additionally, the firm practices in the areas of asset financing, taxation, data protection, restructuring, mergers, acquisitions, leveraged finance, pensions, and private equity. The firm focuses on the energy, healthcare, property, retail, consumer, and financial services sectors.</t>
  </si>
  <si>
    <t>Al Tamimi &amp; Company</t>
  </si>
  <si>
    <t>Established in 1989, Al Tamimi &amp; Company is a full-service commercial law firm headquartered in Sharjah, United Arab Emirates. The firm provides legal services in arbitration, banking, finance, capital markets, commercial, competition, corporate mergers and acquisitions, intellectual property, private equity, and taxation. Al Tamimi caters to clients from various sectors, including automotive, aviation, education, healthcare, hotels, shipping, logistics, and consumer goods.</t>
  </si>
  <si>
    <t>Sharjah, United Arab Emirates</t>
  </si>
  <si>
    <t>United Arab Emirates</t>
  </si>
  <si>
    <t>American Capital</t>
  </si>
  <si>
    <t>American Capital (ACAS) was registered as a Business Development Company, private equity firm and global asset manager. Headquartered in Washington, District of Columbia, the firm directly and through its global asset management business, originated and managed investments in middle-market private equity, leveraged finance, real estate and structured products. American Capital was acquired by Ares Capital (ARCC) for $3.43 billion on January 3, 2017.</t>
  </si>
  <si>
    <t>Angelsquare</t>
  </si>
  <si>
    <t>Founded in 2016, Angelsquare is an investment bank headquartered in Paris, France. The firm provides services in accelerator/incubator, angel (individual), early-stage venture capital, equity crowdfunding, grant, later-stage venture capital, and seed round investments. Angelsquare caters to information technology, healthcare, financial services, and key industry slices including artificial intelligence, fintech, life sciences, and climate tech.</t>
  </si>
  <si>
    <t>Ardea Partners</t>
  </si>
  <si>
    <t>Ardea Partners is a private investment banking advisory firm based in New York City, New York. Founded in 2016, the firm provides strategic and financial advice to chief executive officers, founders, and boards of directors of global enterprises facing transformational changes in strategy, ownership, or capital structure. Ardea Partners caters to media, software, insurance, pharmaceuticals, biotechnology, accounting, and e-commerce sectors among others.</t>
  </si>
  <si>
    <t>Banco Santander (MAD: SAN)</t>
  </si>
  <si>
    <t>Banco Santander is a retail and commercial bank founded in 1857 and based in Madrid, Spain. The bank offers its financial services to individual customers, private banking customers, companies, corporations, universities, and institutions. Santander primarily operates through its commercial banking, global wholesale banking, asset management, private banking, and retail banking subsidiaries across Europe and the United States.</t>
  </si>
  <si>
    <t>Madrid, Spain</t>
  </si>
  <si>
    <t>Spain</t>
  </si>
  <si>
    <t>Southern Europe</t>
  </si>
  <si>
    <t>Barclays Investment Bank</t>
  </si>
  <si>
    <t>Founded in 1997, Barclays Investment Bank is an investment bank headquartered in London, United Kingdom. The firm offers capital raising, financing, risk management, mergers, acquisitions, defense, divestitures, fairness opinions, joint ventures, leveraged buyouts, spin-offs, takeovers, leveraged loans, high-yield bonds, bridge financing, research, and mezzanine debt products. The firm caters to industries including consumer retail, financial institutions, industrials, healthcare, natural resources, power, utilities, real estate, technology, media, and telecommunication.</t>
  </si>
  <si>
    <t>BDO South Africa</t>
  </si>
  <si>
    <t>BDO South Africa is an accounting and auditor firm based in Johannesburg, South Africa. The firm provides a wide range of services including financial statement audits, compliance and regulatory audits, internal audit, international tax advice, labour law and social security law, interim management, business modelling, financing, mergers and acquisitions, outsourcing, and management accounting. BDO South Africa caters to various sectors including healthcare, real estate, construction, logistics, technology, media and telecoms, media and entertainment, financial services, natural resources, and family businesses.</t>
  </si>
  <si>
    <t>Belgian Investment Company for Developing Countries</t>
  </si>
  <si>
    <t>Founded in 2001, Belgian Investment Company for Developing Countries is a lender based in Brussels, Belgium. The agency works to help private businesses in developing and emerging countries grow and become more sustainable. By doing so, it aims to support these countries in achieving long-term development and progress in line with global sustainability goals.The firm invests directly in private sector projects and as such makes a structural contribution to the socio-economic growth of those host countries. The firm uses equity and quasi-equity, long-term loans, to strengthen the financial resources of up-and-coming companies, without diluting the position of its shareholders.</t>
  </si>
  <si>
    <t>Brussels, Belgium</t>
  </si>
  <si>
    <t>Belgium</t>
  </si>
  <si>
    <t>Beltone Financial Holding (CAI: BTFH)</t>
  </si>
  <si>
    <t>Beltone Financial Holding is an investment banking firm established in 2003 and based in Cairo, Egypt. The firm provides various financial services including brokerage and asset management. Beltone assists in initial public offerings, mergers and acquisitions, divestitures, corporate restructuring, corporate finance advising, private placements, and debt structuring transactions.</t>
  </si>
  <si>
    <t>Blue Owl Capital (NYS: OWL)</t>
  </si>
  <si>
    <t>Founded in 2011, Blue Owl Capital is a lender based in New York City, New York. The firm provides financing solutions such as diversified lending, first lien, second lien, unitranche senior secured, floating-rate loans, opportunistic lending, debt, equity, equity-related securities, common equity, warrants, preferred stock, liquid credit, strategic equity, general partner minority stakes, debt financing, professional sports minority stakes, net lease, seeding and strategic capital. The firm caters to alternative asset managers, financial advisors, growth tech companies, and institutional investors.</t>
  </si>
  <si>
    <t>BofA Securities</t>
  </si>
  <si>
    <t>Established in 1971, BofA Securities is an investment bank headquartered in Charlotte, North Carolina. The firm provides advisory expertise integrated with support services for corporate banking, treasury, debt, and equity underwriting across all major industries. Additionally, the firm offers sales and trading services, including research, and institutional clients across fixed-income, credit, currency, commodity, and equity businesses.</t>
  </si>
  <si>
    <t>Bowmans</t>
  </si>
  <si>
    <t>Established in 1885, Bowmans is a full-service law firm headquartered in Johannesburg, South Africa. The firm practices in the areas of mergers, acquisitions, banking and finance, commercial property, competition, corporate investigations, corporate services, data protection, debt capital markets, dispute resolution, tax, employment and benefits, environmental law, equity capital markets, finance, government contracting and public procurement, intellectual property, international arbitration, litigation and arbitration, pensions law, private equity, project finance, regulatory services, and restructuring. Bowmans caters to the shipping and ports, aviation, logistics, fintech, construction, consumer goods, education, energy, financial institutions, hotels and leisure, industrials, infrastructure, insurance, mining, pharmaceuticals and healthcare, transport, technology, media, and telecommunication sectors.</t>
  </si>
  <si>
    <t>Bravura Capital</t>
  </si>
  <si>
    <t>Founded in 1999, Bravura Capital is an investment and advisory banking firm based in Johannesburg, South Africa. The firm provides services in the areas of mergers and acquisitions, sell-side mandates, buy-side mandates, broad-based black economic empowerment ownership, capital raisings, equity, mezzanine, debt, secondary and dual listings. disposal planning acquisition structuring, structuring of property, investment portfolios, wealth creation, wealth planning, wealth preservation, wealth protection, wealth transfer, compliance, fiduciary, and administration.</t>
  </si>
  <si>
    <t>Bridgewater Advisors (Africa)</t>
  </si>
  <si>
    <t>Founded in 2014, Bridgewater Advisors (Advisor) is an independent boutique investment banking and advisory firm. The firm provides services to private and public companies, and governments throughout Africa. The firm operates across several sectors with a particular focus on Energy, Economic Infrastructure, Commercial Real Estate, Manufacturing, and Agriculture, for both public and private sector clients. Bridgewater Advisors (Africa) provides capital raising, mergers and acquisition advisory, infrastructure and capital project advisory, restructuring, and deal advisory services including financial modeling, valuations, and so on.</t>
  </si>
  <si>
    <t>Ridge Accra, Ghana</t>
  </si>
  <si>
    <t>Ghana</t>
  </si>
  <si>
    <t>Canaccord Genuity (TSE: CF)</t>
  </si>
  <si>
    <t>Founded in 1950, Canaccord Genuity is an independent investment bank headquartered in Toronto, Canada. The firm offers services in the areas of research, strategy, sales, trade, and identifying investment opportunities. The firm advises clients on debt, restructuring, capital markets, mergers and acquisitions, and financing transactions. Canaccord Genuity caters to the blockchain, cannabis, gaming, retail, cryptocurrency, internet of things, metal and mining, and technology industries.</t>
  </si>
  <si>
    <t>Conyers Dill &amp; Pearman</t>
  </si>
  <si>
    <t>Founded in 1928, Conyers Dill &amp; Pearman is a law firm based in Hamilton, Bermuda. The firm focuses on company and commercial law and private wealth management. Its practice areas include corporate, family, and matrimonial law, finance, litigation, restructuring, regulatory and compliance, private client and trust, and intellectual property. Conyers Dill &amp; Pearman caters to industries including information technology, materials, healthcare, resources, energy, and financial services.</t>
  </si>
  <si>
    <t>Hamilton, Bermuda</t>
  </si>
  <si>
    <t>Bermuda</t>
  </si>
  <si>
    <t>Cooley</t>
  </si>
  <si>
    <t>Founded in 1920, Cooley is an independent full-service law firm headquartered in Palo Alto, California. The firm provides legal advisory services on mergers, acquisitions, restructuring, reorganization, equity, debt financing, estate planning, and fund formation. Cooley caters to clients in the healthcare, energy, life sciences, education, communication, and media sectors.</t>
  </si>
  <si>
    <t>Davis Polk</t>
  </si>
  <si>
    <t>Founded in 1848, Davis Polk &amp; Wardwell is a legal advisory firm headquartered in New York City, New York. The firm serves tax, litigation, corporate, mergers, acquisitions, credit, antitrust, private equity, tax, financial regulation, investment management, insolvency, restructuring, and technology. The firm caters to business product services, consumer-product services, financial services, energy, material, resources, healthcare, and information technology sectors.</t>
  </si>
  <si>
    <t>DEG</t>
  </si>
  <si>
    <t>Founded in 1962, DEG is a mezzanine firm based in Cologne, Germany. The firm provides services in compliance, coporate governance, and adviosry.</t>
  </si>
  <si>
    <t>Cologne, Germany</t>
  </si>
  <si>
    <t>Derenia Capital</t>
  </si>
  <si>
    <t>Founded in 2018, Derenia Capital is an investment banking firm based in Casablanca, Morocco. The firm offers services in the areas of mergers and acquisitions, fundraising, and strategic advisory.</t>
  </si>
  <si>
    <t>Dorsey &amp; Whitney</t>
  </si>
  <si>
    <t>Founded in 1912, Dorsey &amp; Whitney is a full-service business law firm headquartered in Minneapolis, Minnesota. The firm's practice areas include bankruptcy, restructuring, debt and equity financings, litigation, intellectual property, mergers and acquisitions, private equity, real estate, tax, wealth management, trusts, and estates. The firm caters to industries including construction, energy, food, beverage, mining, and healthcare.</t>
  </si>
  <si>
    <t>Drexel Hamilton</t>
  </si>
  <si>
    <t>Established in 2007, Drexel Hamilton is a military veteran-owned and operated investment banking firm based in New York City, New York. The firm's service areas include public offerings, debt and equity underwriting, recapitalizations and restructurings, public finance, transition management, and equity research. The firm assists its clients with buy-side and sell-side mergers and acquisitions and private equity transactions. Drexel Hamilton caters to the technology, retail, energy, financial services, healthcare, and real estate sectors, among other areas.</t>
  </si>
  <si>
    <t>Eversheds Sutherland</t>
  </si>
  <si>
    <t>Founded in 1924, Eversheds Sutherland is a law firm headquartered in London, United Kingdom. The firm provides a full range of legal services including corporate, mergers, acquisitions, dispute resolution, and litigation. Eversheds Sutherland caters to energy, infrastructure, finance, human capital, labor law, intellectual property, real estate, construction, and tax.</t>
  </si>
  <si>
    <t>Extera Partners</t>
  </si>
  <si>
    <t>Management Consultants</t>
  </si>
  <si>
    <t>Cambridge, MA</t>
  </si>
  <si>
    <t>Finnish Fund for Industrial Cooperation</t>
  </si>
  <si>
    <t>Founded in 1980, Finnfund is a lender based in Helsinki, Finland. The firm offers financing in the form of equity, mezzanine financing, or debt. Finnfund caters to forestry, energy, agriculture, financial institutions, digital infrastructure and solutions, renewable energy, agriculture, financial institutions, and other business sectors.</t>
  </si>
  <si>
    <t>Helsinki, Finland</t>
  </si>
  <si>
    <t>Finland</t>
  </si>
  <si>
    <t>FinTrust Capital</t>
  </si>
  <si>
    <t>Other Consultant Type</t>
  </si>
  <si>
    <t>First Capital Financial Advisory</t>
  </si>
  <si>
    <t>Fluxmans</t>
  </si>
  <si>
    <t>Established in 1980, Fluxmans is a law firm headquartered in Johannesburg, South Africa. Services offered by the firm include business rescue, insolvency, competition, anti-trust, construction, engineering, corporate, commercial, employment, estate, exchange control, intellectual property, litigation, matrimonial, mining, property, tax, technology, media, and telecommunication. Fluxmans caters to industries including information technology, construction, engineering, real estate services, commercial transportation, retail, healthcare, electronics, logistics, home furnishing, mining, and financial services.</t>
  </si>
  <si>
    <t>Foley &amp; Lardner</t>
  </si>
  <si>
    <t>Established in 1842, Foley &amp; Lardner is a law firm based in Milwaukee, Wisconsin. The firm specializes in corporate governance, mergers, acquisitions, real estate, securities enforcement, litigation, immigration, intellectual property counseling, litigation, information technology and outsourcing, labor and employment, environmental, and taxation. Foley &amp; Lardner caters to the airport and aviation, automotive, emerging technologies, food, energy, beverage, healthcare, hospitality, insurance, reinsurance, life sciences, manufacturing, medical devices, and sports sectors.</t>
  </si>
  <si>
    <t>FRP Debt Advisory</t>
  </si>
  <si>
    <t>Litmus Advisory was a financing advisory firm based in London, United Kingdom. The firm was acquired by FRP Advisory.</t>
  </si>
  <si>
    <t>Gambit Corporate Finance</t>
  </si>
  <si>
    <t>Founded in 1992, Gambit Corporate Finance is a corporate finance and advisory firm headquartered in London, United Kingdom. The firm specializes in advising private and public companies on middle-market transactions throughout the United Kingdom and overseas. The firm advises companies on management buyouts and buy-ins, mergers and acquisitions, company disposals, fundraising, and private equity transactions as well as on areas such as succession planning, refinancing, research, and deal creation.</t>
  </si>
  <si>
    <t>Garuda Capital</t>
  </si>
  <si>
    <t>Garuda Capital is a business intermediary firm headquartered in Sandton, South Africa. The firm assists with mergers and acquistins, capital raisings, trade finance, debt raisings, and startegic advisory. The firm primarily assists Overseas Investors in purchasing South African companies or making investments into South African Projects.</t>
  </si>
  <si>
    <t>Business Intermediary</t>
  </si>
  <si>
    <t>Sandton, South Africa</t>
  </si>
  <si>
    <t>Gornitzky &amp; Company</t>
  </si>
  <si>
    <t>Founded in 1938, Gornitzky &amp; Company is an independent law firm headquartered in Tel Aviv, Israel. This firm practices in the areas of administrative law, banking and finance, clean tech, cybersecurity, environment, financial technology, real estate, mergers and acquisitions, life science, private equity and venture capital, restructuring, insolvency, debt, buyouts, and corporate transactions. The firm caters to clients in the retail. media, infrastructure, transportation, agriculture, insurance, mobile, cybersecurity, digital health, and manufacturing industries among others.</t>
  </si>
  <si>
    <t>Tel Aviv, Israel</t>
  </si>
  <si>
    <t>Israel</t>
  </si>
  <si>
    <t>Hannam &amp; Partners</t>
  </si>
  <si>
    <t>Established in 2012, Hannam &amp; Partners is a leading independent investment banking firm headquartered in London, United Kingdom. This firm specializes in offering independent corporate finance and capital markets advice to public and private corporations, institutions, private individuals, and sovereign bodies on transactions of all sizes. Hannam advises clients on strategy, timing, structure, financing, and pricing, and assists in negotiating and closing transactions. The firm caters to various industries such as energy services, commercial banks, real estate investment trusts, building and property, utilities, real estate services, and insurance.</t>
  </si>
  <si>
    <t>HF Private Debt</t>
  </si>
  <si>
    <t>Founded in 2017, HF Private Debt is based in Hannover, Germany, and is the advisor of HF Private Debt Funds, SCSp, and HF Private Debt Fonds II SCSp. The firm provides private debt financing to small and medium-sized companies. The firm supports growth financing, corporate successions, and private equity-backed buyouts.</t>
  </si>
  <si>
    <t>Hannover, Germany</t>
  </si>
  <si>
    <t>HSBC Securities (Canada)</t>
  </si>
  <si>
    <t>Founded in 2004, HSBC Securities (Canada) is based in Toronto, Canada, and operates as a subsidiary of HSBC Bank Canada. The firm provides investment services and products. HSBC Securities (Canada) offers equity, fixed income, institutional and mutual fund trading, investment advice, domestic and international research, corporate finance, and mergers and acquisitions advisory services. HSBC InvestDirect is a division of HSBC Securities (Canada).</t>
  </si>
  <si>
    <t>Industrial Development Corporation of South Africa</t>
  </si>
  <si>
    <t>Industrial Development Corporation (IDC) of South Africa is an economic development agency based in Sandton, South Africa. Established in 1940, the IDC is a self-financing, self-sustaining, state-owned national development finance institution whose primary objective is to contribute to the generation of balanced, sustainable economic growth in Africa and to the economic empowerment of the South African population, thereby promoting the economic prosperity of all citizens. The assets of the agency are managed by the executive management team.</t>
  </si>
  <si>
    <t>Intelligent Way Capital Partners</t>
  </si>
  <si>
    <t>Intelligent Way Capital Partners is a mergers and acquisitions advisory firm, established in 2009 and based in Cairo, Egypt. The firm is the exclusive member of the International Network of merger and acquisition Partners IMAP in Egypt. The firm provides financial consultancy services and helps in finding partners, strategic, or financial investors.</t>
  </si>
  <si>
    <t>J.P. Morgan Securities</t>
  </si>
  <si>
    <t>Established in 1985, J.P. Morgan Securities is a financing advisory firm headquartered in New York City, New York, offering securities brokerage services. The firm provides cash and wealth management, stock, corporate, education, and retirement planning services. Additionally, the firm offers margin and non-purpose loans, as well as letters of credit. J.P. Morgan Securities operates as a subsidiary of J.P. Morgan Broker-dealer Holdings. The firm also specializes in banking and lending.</t>
  </si>
  <si>
    <t>Java Capital Proprietary</t>
  </si>
  <si>
    <t>Java Capital is an independent corporate finance, mergers and acquisitions, and equity capital markets boutique, providing advisory and transaction implementation services to both listed and unlisted companies. Based in Johannesburg, South Africa, the firm specializes in advising on private equity, buy-out, debt financing, initial public offering, and corporate restructuring-related transactions.</t>
  </si>
  <si>
    <t>Khaled El Ghannam &amp; Co.</t>
  </si>
  <si>
    <t>Kroll (Other Financial Services.)</t>
  </si>
  <si>
    <t>Founded in 1932, Kroll is a financial advisory and investment banking firm headquartered in New York City, New York. This firm works with clients across diverse sectors in valuation, expert services, investigations, cyber security, corporate finance, restructuring, legal and business solutions, data analytics, and regulatory compliance. Kroll caters to the consumer, retail, food, restaurant, energy, healthcare, life sciences, and technology sectors.</t>
  </si>
  <si>
    <t>Lazard (NYS: LAZ)</t>
  </si>
  <si>
    <t>Founded in 1848, Lazard is a financing advisory firm headquartered in New York City, New York. The firm advises on mergers, acquisitions, strategic matters, restructuring, capital raising, corporate finance, and asset management services to corporations, partnerships, institutions, governments, and individuals. The firm also caters to the healthcare, information technology, financial services, energy, retail, transportation, cybersecurity, infrastructure, gaming, and manufacturing sectors.</t>
  </si>
  <si>
    <t>Levari Law</t>
  </si>
  <si>
    <t>Founded in 2012, Levari Law is a full-service international law firm based in London, Cairo, Dubai &amp; Riyadh. The firm offers its legal services in the following practice areas: Media, Commercial, Corporate, M&amp;A, Corporate Structuring and Offshoring, Banking &amp; Finance, Dispute Resolution, Employment, Real Estate, Intellectual Property, IT &amp; Telecoms, Oil &amp; Gas, and Renewable Energy.</t>
  </si>
  <si>
    <t>LiquidAfrica</t>
  </si>
  <si>
    <t>LiquidAfrica is a financing advisory firm headquartered in Chislehurston, South Africa. The firm provides advisory services in the areas of mergers and acquisitions, capital raising, financial analysis, business planning, transaction structuring, market screening, independent valuations, and investor presentations. The firm caters to sectors of telecommunications, oil and gas, banking, insurance, healthcare, and pharmaceuticals, agriculture, information technology, construction, mining and resources, infrastructure, and power.</t>
  </si>
  <si>
    <t>Chislehurston, South Africa</t>
  </si>
  <si>
    <t>MNP (Accounting, Audit and Tax Services (B2B))</t>
  </si>
  <si>
    <t>Founded in 1958, MNP is an accounting, auditor, and business consulting firm headquartered in Calgary, Canada. The firm offers an array of services such as accounting, consultation regarding corporate finance, enterprise risk, insolvency, forensic services, succession, training solutions, valuations, and taxation. The firm caters to industries including agriculture, credit unions, dealerships, food, beverage, forestry and forest products, indigenous services, mining, and oil and gas.</t>
  </si>
  <si>
    <t>Calgary, Canada</t>
  </si>
  <si>
    <t>Nomura Holdings (TKS: 8604)</t>
  </si>
  <si>
    <t>Established in 1925, Nomura Securities is a securities and investment banking firm based in Tokyo, Japan. The firm provides individual investors and corporate clients with a broad range of services, including investment advisory and securities underwriting. Nomura Securities provides corporate clients with a wide array of specialized services that include investment management support for institutional investors, mergers and acquisitions, financial advisory services for raising company shareholder value, and underwriting stock and bond issues to procure funds from the capital markets. Nomura Securities is a wholly-owned subsidiary of Nomura Holdings, which forms part of the Nomura Group.</t>
  </si>
  <si>
    <t>Oppenheimer &amp; Company (NYS: OPY)</t>
  </si>
  <si>
    <t>Founded in 1881, Oppenheimer &amp; Company is an investment banking firm based in New York City, New York. The firm provides financial services in initial public offerings, secondary common stock offerings, convertible debt, private placements, capital raising, acquisition financing, and asset-based loans. Additionally, the firm also offers second-lien loans, subordinated, mezzanine debt, structured equity, mergers, acquisitions, fairness opinions, management buyouts, leveraged recapitalizations, takeover defenses, restructurings, distressed sales, divestitures, spin-offs, and split-offs services. The firm caters to clients in the consumer, energy, financial institutions, healthcare, technology, transportation, and logistics sectors, among others.</t>
  </si>
  <si>
    <t>Oxford Finance</t>
  </si>
  <si>
    <t>Established in 2002, Oxford Finance is a specialty financial services firm headquartered in Alexandria, Virginia. The firm provides senior secured loans to public and private life sciences and healthcare service companies worldwide. Oxford offers products and services to companies for a variety of purposes such as growth, working capital, acquisitions, refinancing, restructuring, and recapitalization. The firm caters to industries including biopharmaceuticals, healthcare technology, and diagnostics among others.</t>
  </si>
  <si>
    <t>Alexandria, VA</t>
  </si>
  <si>
    <t>Pearl Capital Partners</t>
  </si>
  <si>
    <t>Pearl Capital Partners is a venture capital firm based in Kampala, Uganda. The firm prefers to invest in small and medium sized agricultural businesses in East and Southern Africa. Investments are made using a combination of equity, quasi-equity, equity-related and debt investments.</t>
  </si>
  <si>
    <t>PSG Capital</t>
  </si>
  <si>
    <t>Founded in 1998, PSG Capital is a financial advisory headquartered in Stellenbosch, South Africa. The firm provides services in the areas of mergers and acquisitions, capital raisings, equity, initial public offerings, valuations, private equity, venture capital, and management buyouts.</t>
  </si>
  <si>
    <t>Stellenbosch, South Africa</t>
  </si>
  <si>
    <t>Reed Smith</t>
  </si>
  <si>
    <t>Founded in 1877, Reed Smith is a full-service law firm headquartered in Pittsburgh, Pennsylvania. The firm provides a wide array of legal services in bankruptcy, commercial restructuring, litigation and dispute resolution, intellectual property, private equity, mergers and acquisitions, tax practices, and wealth practices. The firm caters to a large spectrum of industries which include energy and natural resources, finance, life sciences, healthcare, media, and entertainment sectors.</t>
  </si>
  <si>
    <t>Pittsburgh, PA</t>
  </si>
  <si>
    <t>Robert W. Baird &amp; Co.</t>
  </si>
  <si>
    <t>Founded in 1919, Robert W. Baird &amp; Co. is an investment bank headquartered in Milwaukee, Wisconsin. The firm offers a comprehensive range of advisory services, including mergers and acquisitions, business valuations, and transition planning, to growth-oriented lower- and middle-market companies. The firm primarily caters to public and private companies in the greater Midwest and Southeast.</t>
  </si>
  <si>
    <t>Milwaukee, WI</t>
  </si>
  <si>
    <t>Shearman &amp; Sterling</t>
  </si>
  <si>
    <t>Established in 1872, Shearman &amp; Sterling was a law firm based in New York City, New York. The firm practiced in the areas included antitrust, arbitration, litigation, intellectual property, project development, international law, tax, capital markets, mergers and acquisitions, venture capital, financial restructuring, insolvency, and project finance transactions. The firm catered to sectors like healthcare, real estate, energy, banking, technology, transportation, manufacturing, automotive, construction, aerospace, defense, and power, among others. On May 1, 2024, Sterling and Shearman merged with Allen &amp; Overy to become A&amp;O Shearman.</t>
  </si>
  <si>
    <t>Spice Route Legal</t>
  </si>
  <si>
    <t>Founded in 2016, Spice Route Legal is a full-service law firm focusing on Technology, Media &amp; Telecommunications, Lifesciences, Pharmaceuticals &amp; Healthcare, Sustainable and Alternative Energy, Financial Services and Aviation</t>
  </si>
  <si>
    <t>Bengaluru, India</t>
  </si>
  <si>
    <t>India</t>
  </si>
  <si>
    <t>South Asia</t>
  </si>
  <si>
    <t>Strategy&amp;</t>
  </si>
  <si>
    <t>Founded in 2014, Strategy&amp; is a strategy consulting firm headquartered in New York City, New York. The firm provides services in the areas of marketing and sales, operations strategy, people and organization strategy, product and service innovation, and technology strategy. Strategy&amp; helps clients in an array of industries including aerospace and defense, automotive, chemicals, consumer products, energy and utilities, financial services, health, media and entertainment, and oil and gas among others.</t>
  </si>
  <si>
    <t>Sullivan &amp; Cromwell</t>
  </si>
  <si>
    <t>Founded in 1879, Sullivan &amp; Cromwell is a law firm headquartered in New York City, New York. The firm provides services in restructuring, litigation, arbitration, negotiation, dispute settlement and consultancy, mergers and acquisitions, private equity, privatization, intellectual property, and technology transactions. S&amp;C caters to the banking, chemicals, consumer products, financial, healthcare, insurance, real estate, technology, media and telecommunications, and energy sectors.</t>
  </si>
  <si>
    <t>Symbid (online funding platform)</t>
  </si>
  <si>
    <t>Rotterdam, Netherlands</t>
  </si>
  <si>
    <t>TLG Capital</t>
  </si>
  <si>
    <t>Founded in 2009, TLG Capital is a lender headquartered in London, United Kingdom. The firm provides services for debt investments, equity investments, sub-Saharan Africa, and frontier/emerging markets.</t>
  </si>
  <si>
    <t>TMS Law Firm</t>
  </si>
  <si>
    <t>Founded in 2016, TMS Law Firm was a full-service law firm, headquartered in Cairo, Egypt. The firm practiced in the areas of mergers and acquisitions, arbitration and dispute resolution, litigation, anti-trust, employment, media, intellectual property rights, technology, and entrepreneurial innovation. The firm catered to the real estate, corporate, technology, media, and telecommunication sectors.</t>
  </si>
  <si>
    <t>U.S. Bank (NYS: USB)</t>
  </si>
  <si>
    <t>Established in 1863, U.S. Bank is a commercial bank headquartered in Minneapolis, Minnesota. The firm offers business, consumer, corporate, and commercial banking, payment services, wealth management, and investment services. The bank also provides lending and depository services, cash management, capital markets, and retirement planning services. The bank's lending services include traditional credit products, lease financing, mortgage lending, import and export trade, asset-backed lending, and agricultural finance among others. U.S. Bank operates as a subsidiary of U.S. Bancorp.</t>
  </si>
  <si>
    <t>UBS Optimus Foundation</t>
  </si>
  <si>
    <t>Founded in 1861, The UBS Optimus Foundation Network consists of the UBS Optimus Foundation in Switzerland.</t>
  </si>
  <si>
    <t>UGGC Avocats</t>
  </si>
  <si>
    <t>Founded in 1993, UGGC Avocats is a law firm headquartered in Paris, France. The firm provides services in areas such as mergers, acquisitions, public business law, fiscal law, private equity, banking, and finance, litigation, arbitration, environmental law, distribution, consumption, real estate, health law, information technology, automotive law, media, communication, and entertainment.</t>
  </si>
  <si>
    <t>Vantage Capital</t>
  </si>
  <si>
    <t>Walkers Global</t>
  </si>
  <si>
    <t>Founded in 1964, Walkers is an independent international law firm headquartered in George Town, Cayman Islands. The firm's practice areas include mergers and acquisitions, private equity, private placements, joint ventures, corporate reorganizations and restructurings, banking disputes, bankruptcy, insolvency litigation, and intellectual property. The firm caters to clients in industries such as business products services, consumer products services, fintech, manufacturing, and financial services among others.</t>
  </si>
  <si>
    <t>George Town, Cayman Islands</t>
  </si>
  <si>
    <t>Cayman Islands</t>
  </si>
  <si>
    <t>Central America</t>
  </si>
  <si>
    <t>William Blair &amp; Company</t>
  </si>
  <si>
    <t>Established in 1935, William Blair &amp; Company is an investment bank based in Chicago, Illinois. The firm provides services in the areas of mergers, acquisitions, corporate recapitalizations, fairness opinions, and leveraged buyout transactions. William Blair &amp; Company caters to sectors of consumer, retail, financial services, energy, healthcare, manufacturing, industrials, and technology.</t>
  </si>
  <si>
    <t>William Fry</t>
  </si>
  <si>
    <t>Founded in 1846, William Fry is a law firm headquartered in Dublin, Ireland. The firm provides legal advisory services in areas such as mergers, acquisitions, company law, tax, banking and finance, litigation and dispute resolution, intellectual property, corporate restructurings, privatizations, financial services, technology, asset management, and investment funds. WF assists in various sectors, including real estate, construction, manufacturing, infrastructure, telecommunications, life sciences, technology, retail, food, and media, among others.</t>
  </si>
  <si>
    <t>Dublin, Ireland</t>
  </si>
  <si>
    <t>Ireland</t>
  </si>
  <si>
    <t>Zilla Capital</t>
  </si>
  <si>
    <t>Founded in 2018, Zilla Capital is an investment banking firm, based in Cairo, Egypt. The firm provides services in liquidity assistance, reintroducing new capital sources, debt restructuring, buyouts, growth of the business, platform formation, refinancing, project financing, mergers and acquisitions, divestitures, activism, and spin-offs. Zilla Capital also offers independent financial advisory. The firm caters to education, healthcare, infrastructure, manufacturing, oil and gas, retail, real estate, food and beverages, and information technology sectors among others.</t>
  </si>
  <si>
    <t>35 Nord</t>
  </si>
  <si>
    <t>A Trend Financial Consultants</t>
  </si>
  <si>
    <t>Mississauga, Canada</t>
  </si>
  <si>
    <t>ABSA Bank (South African Custody Business)</t>
  </si>
  <si>
    <t>ABSA Bank (South African Custody Business) was a custody and trustee business arm of Absa Bank. Standard Chartered has acquired ABSA Bank (South African Custody Business).</t>
  </si>
  <si>
    <t>Absa Corporate and Investment Banking</t>
  </si>
  <si>
    <t>Absa Capital is a provider of corporate and investment banking services. It provides corporate banking services which include cash management, receivables financing, factoring, invoice discounting, trade and community finance and investment banking services which include debt financing, loans, advisory services, corporate financing, buyouts, acquisition finance, mergers, acquisitions and bridge financing. Absa Capital prefers to invest in industries engaged in power, utilities and infrastructure; natural resources; consumer and retail; healthcare and pharmaceuticals; real estate; technology, media and telecoms; agriculture and transport. The firm is based in Johannesburg, South Africa.</t>
  </si>
  <si>
    <t>Academy Bank</t>
  </si>
  <si>
    <t>Founded in 1966, Academy Bank is a full-service commercial bank headquartered in Kansas City, Kansas. The bank provides financial solutions for businesses and individuals, including commercial and small business lending, treasury management, and mortgage services. The bank caters to industries including manufacturing, distribution, consumer products, transportation, and food. Academy Bank is a wholly-owned subsidiary of Dickinson Financial.</t>
  </si>
  <si>
    <t>Kansas City, KS</t>
  </si>
  <si>
    <t>Academy Securities</t>
  </si>
  <si>
    <t>Founded in 2009, Academy Securities is an investment banking and broker-dealer firm headquartered in New York City, New York. The firm specializes in equity and debt capital markets, public finance, institutional agency trading, corporate advisory, capital raising, and traditional mergers and acquisitions. Academy Securities' client base includes aerospace, government, consumer, food, retail, energy, power, transportation, logistics, technology, media, telecommunication, real estate, leisure, and lodging firms.</t>
  </si>
  <si>
    <t>Ader Finance</t>
  </si>
  <si>
    <t>Founded in 2003, Ader Finance is a financing advisory based in Paris, France. The firm offers services in the areas of mergers and acquisitions, fundraising, and capital raising. The firm caters to sectors including software, online and mobile marketing, media, e-commerce, information technology, industrial businesses, and others.</t>
  </si>
  <si>
    <t>ADI Capital (Banking)</t>
  </si>
  <si>
    <t>Adsero - Ragy Soliman &amp; Associates</t>
  </si>
  <si>
    <t>Adsero-Ragy Soliman &amp; Associates is a law firm based in Cairo, Egypt. Founded in 2019, the firm provides legal advisory services such as acquisitions, bankruptcy, bonds, buyouts, debt, early-stage venture capital, joint venture, later-stage venture, mergers, privatizations, spin-offs, and follow-on processing to small and middle-market companies. The firm caters to the technology and real estate sectors.</t>
  </si>
  <si>
    <t>Advance Capital</t>
  </si>
  <si>
    <t>Founded in 2007, Advance Capital Transaction Advisory Services is a financial advisory firm headquartered in Lyon, France. The firm provides advisory services in areas including accounting, financial due diligence, package management evaluation, restructuring, performance analysis, sales support, and financial reporting. The firm primarily caters to business product services, consumer services, energy, manufacturing, healthcare, financial services, and information technology sectors.</t>
  </si>
  <si>
    <t>Lyon, France</t>
  </si>
  <si>
    <t>Africa Rising Capital</t>
  </si>
  <si>
    <t>Founded in 2009, Africa Rising Capital is a financing advisory firm headquartered in Sandton, South Africa. The firm provides services in the areas such as mergers and acquisitions, valuations, due diligence, equity and debt capital raising, transactional advisory, and project finance advisory.</t>
  </si>
  <si>
    <t>AfriNova Consulting</t>
  </si>
  <si>
    <t>Al Kamel Law Office</t>
  </si>
  <si>
    <t>AlbaCore Capital Group</t>
  </si>
  <si>
    <t>Founded in 2016, AlbaCore Capital is an investment firm and solutions provider headquartered in London, United Kingdom. AlbaCore focuses on private debt and opportunistic credit investments across capital structures and European jurisdictions. The firm aims to generate attractive risk-adjusted returns and alpha over the cycle in primary and secondary markets.</t>
  </si>
  <si>
    <t>ALC Alieldean</t>
  </si>
  <si>
    <t>Alcimed</t>
  </si>
  <si>
    <t>Founded in 1993, Alcimed is a consulting firm based in Paris, France. The firm offers services in the areas of strategic due diligence, business models, and innovation management. Alcimed caters to the healthcare, energy, aeronautics, space, defense, chemicals, materials, and private equity sectors.</t>
  </si>
  <si>
    <t>Alexander Hutton</t>
  </si>
  <si>
    <t>Founded in 1986, Alexander Hutton is an investment banking firm headquartered in Seattle, Washington. The firm offers advisory such as sell-side merger and acquisition, buy-side merger and acquisition, recapitalizations, management buy-outs, secured debt, unsecured debt, mezzanine, and joint venture. The firm caters to clients operating in the home services, technology, manufacturing, healthcare, energy, material and resources, manufacturing, business services, and distribution industries.</t>
  </si>
  <si>
    <t>Seattle, WA</t>
  </si>
  <si>
    <t>Alexander Johnson</t>
  </si>
  <si>
    <t>Mr. Alexander Johnson is a high-net-worth-investor based in London, England.</t>
  </si>
  <si>
    <t>Alieldean Weshahi &amp; Partners</t>
  </si>
  <si>
    <t>Founded in 2003, Alieldean Weshahi &amp; Partners is a law firm headquartered in Giza, Egypt. The firm provides services related to capital markets, mergers and acquisitions, due diligence, arbitration, tourism and hospitality, and sports law. ALC caters to energy, oil and gas, tourism, agriculture, food, transport, banking, healthcare and pharmaceuticals, private equity, manufacturing and trade.</t>
  </si>
  <si>
    <t>Alliance Law (Egypt)</t>
  </si>
  <si>
    <t>Founded in 2013, Alliance Law is a law firm headquartered in Cairo, Egypt. The firm's practice areas include mergers and acquisitions, capital markets, litigation, competition and distribution, corporate and commercial, labor law, dispute resolution, arbitration, and intellectual property. The firm caters to industries including banking and finance, telecommunication, oil and gas, real estate, and government entities among others.</t>
  </si>
  <si>
    <t>AlphaMundi</t>
  </si>
  <si>
    <t>Geneva, Switzerland</t>
  </si>
  <si>
    <t>Aluko &amp; Oyebode</t>
  </si>
  <si>
    <t>Established in 1993, Aluko &amp; Oyebode is a legal advisory firm based in Lagos, Nigeria. The firm's practice areas include banking, corporate services, international trade, infrastructure finance, financial institutions advisory and public procurement. Aluko &amp; Oyebode caters to several industrial sectors including consumer and manufactured goods, insurance, public sector, real estate, energy, natural resources, financial institutions, transportation, telecommunication, technology and entertainment.</t>
  </si>
  <si>
    <t>Ikoyi, Nigeria</t>
  </si>
  <si>
    <t>Amendola Communications</t>
  </si>
  <si>
    <t>Founded in 2003 Amendola is an insights-driven public relations and marketing firm headquartered in Fountain Hills, Arizona United States. The firm integrates media relations, social media, content, and lead gen programs to move healthcare, life sciences/pharma, and healthcare IT decision-makers to action. The firm represents some of the industry's best-known brands as well as groundbreaking startups that are disrupting the status quo. Nearly 90% of the firm's client base represents multi-year clients and/or repeat client executives. The firm's seasoned team of PR and marketing pros understand the ongoing complexities of the healthcare ecosystem and provide strategic guidance and creative direction to drive positive ROI, boost reputation, and increase market share. Making an impact since 2003, it combines traditional and digital media to fuel meaningful and measurable growth.</t>
  </si>
  <si>
    <t>PR Firm</t>
  </si>
  <si>
    <t>Fountain Hills, AZ</t>
  </si>
  <si>
    <t>Amponsa Dadzie &amp; Associates</t>
  </si>
  <si>
    <t>Accra, Ghana</t>
  </si>
  <si>
    <t>Anaxago</t>
  </si>
  <si>
    <t>Apollo Asset Management (NYS: APO)</t>
  </si>
  <si>
    <t>Founded in 1990, Apollo Global Management is a private equity and investment management firm headquartered in New York City, New York. The firm offers performing and non-performing loans, insurance-linked securities, asset-backed securities, distressed debt, senior bank loans, structured credit, and other fixed-income products to clients. Apollo Global Management caters to industry groups including, consumer products, chemicals, and services, retail, oil, gas, distribution and transportation, financial, business services, media, telecom, and technology, among others.</t>
  </si>
  <si>
    <t>Arab African International Bank</t>
  </si>
  <si>
    <t>Founded in 1964, Arab African International Bank is a commercial bank headquartered in Cairo, Egypt. The bank provides services, including retail banking, corporate finance, private banking, investment banking, corporate banking, and treasury services.</t>
  </si>
  <si>
    <t>Arab Bank (AMM: ARBK)</t>
  </si>
  <si>
    <t>Founded in 1930, Arab Bank is a commercial banking firm headquartered in Amman, Jordan. The bank provides a wide range of financial products and services for individuals, corporations, and other financial institutions. The bank's products and services cover wealth management, consumer banking, corporate and institutional banking, and treasury services. The bank caters to the energy, utility, retail, pharmaceuticals, environmental services, financial services, infrastructure, oil and gas, technology, media, telecommunications, clean tech, and manufacturing sectors.</t>
  </si>
  <si>
    <t>Amman, Jordan</t>
  </si>
  <si>
    <t>Jordan</t>
  </si>
  <si>
    <t>Arab Legal Consultants</t>
  </si>
  <si>
    <t>Arab Legal Consultants is a commercial and financial boutique law firm based in Giza, Egypt. Founded in 2003, the firm's practice areas include equity, debt, banking, mergers and acquisitions, litigation and arbitration. ALC caters to the needs of clients from various sectors which include manufacturing, infrastructure, energy, refining, oil and gas, healthcare and pharmaceuticals, real estate, education, commercial and transport.</t>
  </si>
  <si>
    <t>Ararat Corporate</t>
  </si>
  <si>
    <t>Founded in 2004, Ararat Corporate provides Corporate and Commercial Legal Advisory services and assists Sellers in selling their businesses via a Sale Process based in Johannesburg, South Africa.</t>
  </si>
  <si>
    <t>Arc Capital</t>
  </si>
  <si>
    <t>Founded in 2018, Arc Capital is an investment bank headquartered in Cairo, Egypt. The firm provides services in financial reporting valuation, buy-side due diligence, sale-side due diligence, tax planning, debt advisory, public-private partnership advisory, turnaround, restructuring, working capital analysis, forensic advisory, disputes advisory, accounting, reporting, payroll outsourcing, and merger and acquisition.</t>
  </si>
  <si>
    <t>Arcay Group</t>
  </si>
  <si>
    <t>Founded in 1991, Arcay Group was a Parktown, South Africa based corporate finance services provider.</t>
  </si>
  <si>
    <t>Arden Capital(Casablanca)</t>
  </si>
  <si>
    <t>Ares Management (NYS: ARES)</t>
  </si>
  <si>
    <t>Founded in 1997, Ares Management is a global alternative asset manager and SEC-registered investment adviser. The firm pursues investment activities in leveraged loans, high-yield bonds, private debt, private equity, and other types of investments. The firm is headquartered in Los Angeles, California, with offices across the United States, Europe, and Asia. Ares Management is made up of three different platforms, which are Ares Private Equity Group, Ares Private Debt Group, and Cares Capital Markets Group. Ares Private Equity Group pursues opportunistic majority or shared-control investments in under-capitalized middle-market companies. Ares Private Debt Group, comprised of Ares Capital Corporation and Ares Capital Europe, provides integrated private debt and non-control equity financing solutions to the middle market. Ares Capital Markets Group invests in tradable securities, including broadly syndicated leveraged loans, high-yield bonds, and other fixed-income investments. The firm caters to industries such as rail, publishing, printing services, road, office services, and many others.</t>
  </si>
  <si>
    <t>Armand Yapsunto Muharamsyah</t>
  </si>
  <si>
    <t>Armand Yapsunto Muharamsyah is a law firm headquartered in Jakarta, Indonesia. The firm provides services in the areas such as mergers and acquisitions, capital markets, banking and finance, dispute resolution, intellectual property, energy, mining, corporate, due diligence, debt restructuring, infrastructure, climate changes, and many more.</t>
  </si>
  <si>
    <t>Jakarta, Indonesia</t>
  </si>
  <si>
    <t>Indonesia</t>
  </si>
  <si>
    <t>Southeast Asia</t>
  </si>
  <si>
    <t>Arnold &amp; Porter Kaye Scholer</t>
  </si>
  <si>
    <t>Founded in 1946, Arnold &amp; Porter Kaye Scholer is a law firm headquartered in Washington, District of Columbia. The firm's practice areas include antitrust, competition and trade regulation, bankruptcy, consumer product safety, corporate and securities, employee benefits, intellectual property and technology, litigation, and white-collar crime. Arnold &amp; Porter Kaye Scholer caters to industries including financial services, food, medical devices, cannabis, government, healthcare, pharmaceutical, international trade, media, entertainment and internet, real estate, telecommunications, and sports.</t>
  </si>
  <si>
    <t>Arqaam Capital</t>
  </si>
  <si>
    <t>Established in 2007, Arqaam Capital is an investment banking firm headquartered in Dubai, United Arab Emirates. The firm provides services in corporate finance, asset management, cash equity, credit trading, equity derivatives, capital markets advisory, infrastructure, principal finance, treasury, and custody. Arqaam Capital caters to sectors including power, utilities, transportation, industrial infrastructure, and financial services.</t>
  </si>
  <si>
    <t>Dubai, United Arab Emirates</t>
  </si>
  <si>
    <t>Ascent Capital Partners</t>
  </si>
  <si>
    <t>Founded in 2010, Ascent Capital Partners is an independent investment bank providing a broad range of financial advisory services, particularly in mergers &amp; acquisitions and strategic advisory, fundraising and capital markets, structured finance and investment advisory. The firm has expertise in agribusiness, food &amp; beverage, transportation, financial services, infrastructure, chemical, automotive and retail industries, among other sectors. The firm is based in Casablanca, Morocco and is the sole representative of IMAP in Morocco and West Africa.</t>
  </si>
  <si>
    <t>Ashburton Investments</t>
  </si>
  <si>
    <t>Founded in 1983, Ashburton Investments is a lending firm headquartered in Saint Helier, United Kingdom. The firm offers discretionary managed portfolios, and multi-asset and specialist equity solutions to international private and corporate clients, including family offices, trustees, charities, and wealth managers.</t>
  </si>
  <si>
    <t>Saint Helier, United Kingdom</t>
  </si>
  <si>
    <t>Ashurst</t>
  </si>
  <si>
    <t>Founded in 1822, Ashurst is a law firm headquartered in London, United Kingdom. The firm provides legal services in areas such as banking and finance, capital markets, competition and antitrust, corporate, mergers and acquisitions, dispute resolution, employment, intellectual property, investment funds, restructuring, and tax. Ashurst caters to industries including aerospace, banking, business support services, consumer food, retail, hotel, leisure, gaming, insurance, manufacturing, oil, gas, healthcare, oncology, and technology sectors.</t>
  </si>
  <si>
    <t>Aurum Equity Partners</t>
  </si>
  <si>
    <t>Established in 2012, Aurum Equity Partners is an investment banking firm headquartered in Gurgaon, India. The firm specializes in the areas of mergers and acquisitions, corporate divestitures, joint ventures, venture capital and private equity fundraising, restructuring debt, mezzanine debt, and general corporate strategic advisory. Aurum primarily caters to the healthcare, pharmaceuticals, consumer goods, food &amp; beverage, infrastructure, financial services, transportation, logistics, technology, industrial, and education sectors, among others.</t>
  </si>
  <si>
    <t>Gurgaon, India</t>
  </si>
  <si>
    <t>Avolta Partners</t>
  </si>
  <si>
    <t>Established in 2012, Avolta Partners is a financial advisory firm headquartered in Paris, France. The firm provides independent mergers and acquisitions advisory, advising high-growth companies in Europe. The firm provides advice to support companies during fundraising, mergers &amp; acquisitions, and leveraged buyouts. Avolta Partners primarily caters to the technology industry with a focus on advertising technology, clean technology, financial technology, media, business services, and consumer services.</t>
  </si>
  <si>
    <t>B Corporate Finance</t>
  </si>
  <si>
    <t>Bain Capital Credit</t>
  </si>
  <si>
    <t>Founded in 1998, Bain Capital Credit is a Boston, Massachusetts-based lender, and global credit specialist that seeks to invest across the full spectrum of credit strategies, including leveraged loans, high-yield bonds, distressed debt, private lending, structured products, non-performing loans, and equities. The firm operates as an independently managed affiliate of Bain Capital. The firm caters to a diverse range of industries such as aerospace and defense, transportation, consumer and retail, enterprise services, leisure and gaming, industrial products, healthcare, metals and mining, telecom and media, cable, energy and utilities, software, and technology.</t>
  </si>
  <si>
    <t>Baker Tilly (Germany)</t>
  </si>
  <si>
    <t>Founded in 1979, Baker Tilly (Germany) is a partner-managed consultancy firm headquartered in Berlin, Germany. The firm offers a wide range of services including auditing and advisory, tax and law, information technology consulting, turnaround management, risk management, and compliance. Additionally, the firm's financing advisory services comprise mergers and acquisitions advisory, due diligence, financial modeling, and valuation. The firm serves clients in the insurance, telecommunications, energy, automotive, machinery, consumer goods, agriculture, and timber industries.</t>
  </si>
  <si>
    <t>Düsseldorf, Germany</t>
  </si>
  <si>
    <t>Baker Tilly Burj Finance</t>
  </si>
  <si>
    <t>Founded in 2011, Baker Tilly Burj Finance is an investment banking firm headquartered in Casablanca, Morocco. The firm provides services in the areas such as mergers and acquisitions, fundraisings, capital transformation, financial advisory, debt advisory, and restructuring. The firm caters to industries including education, tourism, logistics, real estate, reatil, and health.</t>
  </si>
  <si>
    <t>Banque Ouest Africaine de Développement</t>
  </si>
  <si>
    <t>Banque Ouest Africaine de Développement (BOAD) is a banking institution based in Lome, Togo. Established in 1973, it is the common development finance institution of the member countries of the West African Monetary Union (WAMU). The firm focuses on promoting balanced development of its member states while fostering integration within West Africa. The bank has established subsidy funds, guarantee funds, buyout guarantee funds and research funds.</t>
  </si>
  <si>
    <t>Lome, Togo</t>
  </si>
  <si>
    <t>Togo</t>
  </si>
  <si>
    <t>Barings</t>
  </si>
  <si>
    <t>Founded in 1940, Barings is a lender based in Charlotte, North Carolina. The firm provides services to asset manager clients, financial advisers, life insurance companies, government bodies, corporations, pension funds, charitable institutions, and institutional, retail, and private clients. The firm seeks to deliver excess returns by leveraging its global scale and capabilities across public and private markets in fixed income, real assets, and capital solutions. It harnesses the depth and breadth of the global platform to meet the needs of clients, delivering solutions that cross asset classes and geographies like Public and Private Fixed Income, Real Assets, and Capital Solutions.</t>
  </si>
  <si>
    <t>Bastille Legal Group</t>
  </si>
  <si>
    <t>Founded in 2011, Bastille Legal Group was a law firm headquartered in Chicago, Illinois. The firm offered legal services in focus areas such as business strategy, private and venture funding, mergers and acquisitions, syndicated finance, commercial leasing, corporate governance, and outsourced general counsel. Bastille Legal Group mainly catered to legal, technology, and real estate industries.</t>
  </si>
  <si>
    <t>BC Partners</t>
  </si>
  <si>
    <t>Founded in 1986, BC Partners is a lending firm headquartered in London, United Kingdom. The firm provides financing in the form of private lending, structured equity, debt, asset-backed financing, specialty lending, restructurings, bridge finance, and dislocated liquid credit to sponsor and non-sponsor-owned middle market companies.</t>
  </si>
  <si>
    <t>BDO Australia</t>
  </si>
  <si>
    <t>Founded in 1975, BDO Australia is an accounting and auditing firm based in Brisbane, Queensland. The firm offers services in the areas of audit and assurance, tax, and financial advisory. It also provides numerous services to private clients such as buying and selling businesses, tax and compliance, wealth management, business growth, and others. The firm caters to a large spectrum of industries which include financial services, technology, media and telecommunications, government, and public sector, food and agribusiness, natural resources, not-for-profit, real estate and construction, retail, and healthcare. The firm operates as an Australian arm of BDO International.</t>
  </si>
  <si>
    <t>Brisbane, Australia</t>
  </si>
  <si>
    <t>Australia</t>
  </si>
  <si>
    <t>Oceania</t>
  </si>
  <si>
    <t>BDO Capital Advisors</t>
  </si>
  <si>
    <t>Founded in 1981, BDO Capital Advisors is a middle-market boutique investment banking firm headquartered in Boston, Massachusetts. The firm focuses on mergers and acquisition advisory, corporate finance capital raising, fairness opinions, and board advisory. The firm is a separate legal entity and is an affiliated company of BDO USA. The firm provides services in the entire spectrum of merger and acquisition transactions, including control stock and asset sales, leveraged buyouts, divestitures, recapitalization, management buyouts, and joint ventures. The firm caters to a wide range of industries that include technology, healthcare, life sciences, retail, consumer products, energy, information technology, consumer, food and retail, manufacturing, and distribution.</t>
  </si>
  <si>
    <t>BDO UK</t>
  </si>
  <si>
    <t>Founded in 1903, BDO UK is an accountancy and business advisory firm headquartered in London, England. The firm provides advisory services such as management consulting, corporate finance, business restructuring, tax, and forensic advisory services. The firm caters to business product services, consumer product services, energy, financial services, information technology, manufacturing, life sciences, material, and resources sectors.</t>
  </si>
  <si>
    <t>Bell Potter Securities</t>
  </si>
  <si>
    <t>Founded in 1970, Bell Potter Securities is a full-service stockbroking, investment, and financial advisory firm based in Melbourne, Australia. The firm specializes in placements, market sell-downs, block trades, equity capital raising, Initial Public Offerings, corporate advice and structuring, mergers and acquisitions advisory, and shares price advice and valuation.</t>
  </si>
  <si>
    <t>Melbourne, Australia</t>
  </si>
  <si>
    <t>Bemo Securitisation</t>
  </si>
  <si>
    <t>Established in 1993, BSEC Structured Finance is the financing advisory and investment banking arm of Banque Bemo. BSEC provides buy-side and sell-side advisory services to help clients pursue their growth strategies via capital raising, mergers, and acquisitions transactions. The firm also offers fund administration services to its clients whether in the frame of a financing transaction or to third-party investment scheme managers. BSEC also advises its clients on less complex balance sheet financing, such as bond issuances.</t>
  </si>
  <si>
    <t>Beirut, Lebanon</t>
  </si>
  <si>
    <t>Lebanon</t>
  </si>
  <si>
    <t>Berry Smith Lawyers</t>
  </si>
  <si>
    <t>Established in 1986, Berry Smith is an independent Cardiff, United Kingdom-based business law firm. The firm's practice areas include commercial dispute resolution, commercial property, intellectual property, estate planning, data protection, property litigation, wills, and commercial contracts. Berry Smith advises on the mergers, acquisitions of businesses and companies, management buy-ins and buy-outs, private equity, venture capital, and financing transactions. The firm caters to clients in the manufacturing, retail, healthcare, transportation, software, marine, energy, automotive, and life sciences industries among others.</t>
  </si>
  <si>
    <t>Cardiff, United Kingdom</t>
  </si>
  <si>
    <t>Bevan &amp; Buckland</t>
  </si>
  <si>
    <t>Founded in 1905, Bevan &amp; Buckland is an accounting/auditor firm headquartered in Swansea, Wales. The firm offers accounting, tax, payroll, bookkeeping, forensic accounting, and corporate finance services to its clients. The firm caters to clients in the manufacturing, retail, e-commerce, media, healthcare, automotive, and industrial industries among others.</t>
  </si>
  <si>
    <t>Swansea, United Kingdom</t>
  </si>
  <si>
    <t>Beyond Capital Fund</t>
  </si>
  <si>
    <t>Founded in 2009, Beyond Capital Fund is a New York, New York-based impact investment fund that invests in for-profit early-stage companies throughout East Africa and India. The fund invests in businesses that are focused on greater access to health care, food security, sanitation, financial inclusion, and energy, which can increase the quality of life for consumers living in low-income communities. Though the fund seeks market-rate financial returns, Beyond Capital Fund is structured as a nonprofit, which permits the organization to emphasize fidelity to its social mission alongside its financial mandate.</t>
  </si>
  <si>
    <t>Bilanz Capital Advisors</t>
  </si>
  <si>
    <t>Ahmedabad, India</t>
  </si>
  <si>
    <t>Birkett Stewart McHendrie</t>
  </si>
  <si>
    <t>Founded in 2015, Birkett Stewart McHendrie is an international M&amp;A corporate advisory, capital markets, transaction services and distressed advisory firm with a boutique culture, providing both strategic and financial advisory services. The firm's founding partners have been working together since 2012, completing sophisticated financial advisory services for clients ranging from large public and private corporates and multi-nationals, private equity funds and family businesses.</t>
  </si>
  <si>
    <t>Blackstone (NYS: BX)</t>
  </si>
  <si>
    <t>Founded in 1985, The Blackstone Group is a lending firm headquartered in New York City, New York. The firm's investment vehicles include private equity, real estate, public debt and equity, non-investment grade credit, real assets, and secondary funds. The firm provides debt financing facilities such as secured debt, loans, mezzanine, and senior debt for acquisition financing, buyouts, bankruptcy, debt refinancing, recapitalization, and initial public offerings to small and middle-market companies.</t>
  </si>
  <si>
    <t>Blatter Legal</t>
  </si>
  <si>
    <t>Founded in 2003, Blatter is a law firm headquartered in the Netherlands. The firm provides legal expertise to future minded entrepeneurs in technology &amp; renewables in the areas of commercial contracting, corporate &amp; venture capital, tech &amp; privacy and employment &amp; benefits.</t>
  </si>
  <si>
    <t>Veldhoven, Netherlands</t>
  </si>
  <si>
    <t>BLC Robert &amp; Associates</t>
  </si>
  <si>
    <t>Founded in 2005, BLC Robert &amp; Associates is a law firm headquartered in Ebene, Mauritius. The firm provides legal services in the areas of banking and finance, capital markets, competition, and compliance, corporate and commercial, cybersecurity law, dispute resolution, employment, financial services, insurance law, intellectual property, investment funds, mergers and acquisitions, restructuring and insolvency, and taxation. BLC Robert &amp; Associates caters to sectors of financial services, energy, media, real estate, and technology.</t>
  </si>
  <si>
    <t>Ebene, Mauritius</t>
  </si>
  <si>
    <t>Mauritius</t>
  </si>
  <si>
    <t>Blue Earth Capital</t>
  </si>
  <si>
    <t>Founded in 2015, Blue Earth Capital is a global, independent, specialist impact investor, headquartered in Switzerland, with operations in New York, London, and Konstanz. The firm seeks to address the worlds most pressing social and environmental challenges by delivering measurable impact alongside aiming for attractive and market-rate financial returns. The company operates dedicated private equity, private credit, and fund solutions. The firm is owned by the Blue Earth Foundation, a Stiftung (charity/ trust) registered in Switzerland that focuses on deep impact to support initiatives and business ventures to help deliver a more equitable and sustainable future.</t>
  </si>
  <si>
    <t>Baar, Switzerland</t>
  </si>
  <si>
    <t>BMCE Bank (CAS: BOA)</t>
  </si>
  <si>
    <t>Bank of Africa, formerly Banque Marocaine Du Commerce Exterieur SA is a full-service commercial bank with operations in Morocco and neighboring countries in Africa but also in Europe, China, and Canada. It offers a range of financial services to individual, corporate, and professional clients, including banking, insurance, and asset management. Its products include accounts, credit cards, loans, and other savings and investment products. The bank focuses on developing its core business with stronger market penetration of small and medium-sized businesses and younger customers.</t>
  </si>
  <si>
    <t>BMCE Capital Conseil</t>
  </si>
  <si>
    <t>Founded in 1998, BMCE Capital is an investment banking firm headquartered in Casablanca, Morocco. The firm provides services in the areas of mergers, acquisitions, divestitures, reconciliations, private equity, public-private partnerships, initial public offering, venture capital, bonds, buyouts, and debt refinancing. BMCE Capital caters to the business, finance, consumer products, and services sectors.</t>
  </si>
  <si>
    <t>BMO Financial Group (TSE: BMO)</t>
  </si>
  <si>
    <t>Founded in 1817, BMO Financial Group is a commercial banking institution headquartered in Toronto, Canada. The bank provides services in the areas of retail banking, wealth management, investment banking, personal and commercial banking, wealth management.</t>
  </si>
  <si>
    <t>BNY Mellon Capital Markets</t>
  </si>
  <si>
    <t>BNY Mellon Capital Markets is a financial advisory firm that provides debt and equity underwriting services across public and private markets. The firm also acts as an equity market maker in selected securities and are active in fixed income markets. BNY Mellon Capital Markets is a wholly-owned non-bank subsidiary of The Bank of New York Mellon Corporation (BNY Mellon). The firm provides equity sales and trading, debt and equity underwriting, public finance, acquisitions, credit, currencies and commodities, funds and alternative investments, initial public offerings and follow-on offering services for public companies. BNY Mellon Capital Markets has a presence in the financial, utility and energy sectors, media, retail, and real estate sectors.</t>
  </si>
  <si>
    <t>Boehringer Ingelheim</t>
  </si>
  <si>
    <t>Ingelheim Am Rhein, Germany</t>
  </si>
  <si>
    <t>Boston Consulting Group</t>
  </si>
  <si>
    <t>Founded in 1963, Boston Consulting Group is a global management consultancy headquartered in Boston, Massachusetts. The firm provides strategic advisory services related to innovation, product development, marketing and sales, mergers, acquisitions, divestitures, change management, corporate development, and finance. BCG caters to the automotive, pharmaceuticals, energy, healthcare, insurance, media, and telecommunication industries.</t>
  </si>
  <si>
    <t>Bowen, Inc</t>
  </si>
  <si>
    <t>Founded in 2002, Bowen is a growth tech investment bank headquartered in Boston, Massachusetts. The firm provides M&amp;A advisory, private capital, and principal investment services to companies in 3 growth tech sectors: cloud, defense, and sustainability.</t>
  </si>
  <si>
    <t>Bpifrance</t>
  </si>
  <si>
    <t>Founded in 2012, Bpifrance is a lending firm headquartered in Paris, France. The firm provides debt financing such as loans for acquisitions, buyouts, early-stage venture capital, later-stage venture capital, and growth to small and medium enterprises. The firm caters to the sectors of life sciences, environment, energy, industries and services, communications, and information technology.</t>
  </si>
  <si>
    <t>Brandl Talos</t>
  </si>
  <si>
    <t>Founded in 2000, Brandl Talos is a law firm headquartered in Vienna, Austria. The firm provides legal services in labour law, banking, fundraising, mergers and acquisitions, insurance and securities regulation, corporate law and transactions, capital markets, litigation, venture capital and start-ups, and white-collar crime. The firm caters to biotech and life sciences, gaming and entertainment, intellectual property and data protection, and legal technology.</t>
  </si>
  <si>
    <t>Vienna, Austria</t>
  </si>
  <si>
    <t>Austria</t>
  </si>
  <si>
    <t>British International Investment</t>
  </si>
  <si>
    <t>Founded in 1948, British International Investment is an economic development agency based in London, United Kingdom. The firm is focused on supporting the building of businesses throughout Africa and South Asia and creating jobs by providing debt, equity capital, and mezzanine directly and through intermediaries. BII caters to the distribution, education, consulting, logistics, electronics, and healthcare sectors among others.</t>
  </si>
  <si>
    <t>Broadway Bank</t>
  </si>
  <si>
    <t>Founded in 1941, Broadway Bank is a commercial bank based in San Antonio, Texas. The bank continues to function as a family-owned and operated financial institution and offers personal banking, private banking, military banking, business banking, and wealth management services. Within the commercial banking division, the bank offers small business lending through various lines of credit, term loans, SBA financing, and commercial real estate loans.</t>
  </si>
  <si>
    <t>San Antonio, TX</t>
  </si>
  <si>
    <t>Brown Rudnick</t>
  </si>
  <si>
    <t>Founded in 1948, Brown Rudnick is a leading international law firm. The firm provides client-driven service in global litigation, crisis management (restructuring, investigations and special situations), brand and reputation management, life sciences, and technology.</t>
  </si>
  <si>
    <t>Bryan, Garnier &amp; Company</t>
  </si>
  <si>
    <t>Founded in 1996, Bryan, Garnier &amp; Co. was an investment banking firm headquartered in Paris, France. The firm provided equity research, sales, trading, private and public capital raising, and mergers and acquisitions services to growth companies and investors. Bryan, Garnier &amp; Co. caters to the technology, healthcare, consumer, and business services sectors. On January 06, 2025, the firm was acquired by Stifel.</t>
  </si>
  <si>
    <t>Cabinet Atlassi</t>
  </si>
  <si>
    <t>Cabinet Atlassi is a legal services firm based in Beni Mellal, Morocco.</t>
  </si>
  <si>
    <t>Beni Mellal, Morocco</t>
  </si>
  <si>
    <t>Cains</t>
  </si>
  <si>
    <t>Established in 1899, Cains is a law firm headquartered in Douglas, United Kingdom. The firm practice areas include capital markets, corporate and commercial transactions, restructuring and insolvency, fraud and trust litigation, employment and data protection, trust and company services, and regulatory and compliance matters. Cains primarily cater to banking, financial services, insurance and reinsurance, aviation, real estate, shipping, and technology sectors.</t>
  </si>
  <si>
    <t>Douglas, United Kingdom</t>
  </si>
  <si>
    <t>Candesic</t>
  </si>
  <si>
    <t>Founded in 2002, Candesic is a healthcare, pharma &amp; life sciences, and medtech management consulting firm. The firm consulting services include strategy, vendor / commercial due diligence, digital, and M&amp;A/growth. The firm works with global private equity funds and other private investors, as well as their portfolio companies, healthcare corporates, and public sector organizations such as the NHS.</t>
  </si>
  <si>
    <t>Capital Fund Law Group</t>
  </si>
  <si>
    <t>Capital Fund Law Group is a boutique investment management law firm focused on advising hedge funds, private equity funds and real estate funds. The firm advises on raising equity and debt capital through Regulation D private placement offerings and emerging and established, private equity, real estate, and hedge fund managers on all aspects of fund formation and ongoing operations. Capital Fund Law Group was founded in 2009 and based in New York City, New York.</t>
  </si>
  <si>
    <t>Cascadia Capital</t>
  </si>
  <si>
    <t>Founded in 1999, Cascadia Capital is an investment banking firm headquartered in Seattle, Washington. The firm offers services in the areas of mergers, acquisitions, corporate finance, strategic advisory, and capital market services to family and entrepreneur-owned companies across the world. The firm serves the growth and middle-market companies, both public and private. The firm focuses on sectors including auto aftermarket, business services, consumer and retail, energy, applied technology, food, agribusiness, healthcare, digital health, industrials, real estate, construction technology, and technology.</t>
  </si>
  <si>
    <t>Cavendish Financial</t>
  </si>
  <si>
    <t>Incorporated in 2023, Cavendish Financial is an investment bank headquartered in London, United Kingdom. The firm's service areas include debt advisory, equity capital markets, corporate broking, investment companies, mergers, acquisitions, advisory, and private growth capital. The firm caters to business services, consumer, energy, power and resources, financial services, industrial technology, life sciences, and technology sectors.</t>
  </si>
  <si>
    <t>Cedar Advisory Partners</t>
  </si>
  <si>
    <t>Cedar was founded in 2007 and is based in Lagos, Nigeria. The firm provides investment banking, structured finance, valuation, corporate finance, and mergers and acquisitions, and private equity services. The firm serves companies in healthcare, real estate, hospitality, power, and infrastructure, telecommunications, agriculture, and construction industries.</t>
  </si>
  <si>
    <t>CFG Bank</t>
  </si>
  <si>
    <t>Founded in 2009, CFG Bank is a commercial bank headquartered in Baltimore, Maryland. The bank provides debt financing facilities such as loans, cannabis financing, equipment financing, revolving credit lines, real estate financing, bridge financing, and acquisition financing to small and middle-market companies.</t>
  </si>
  <si>
    <t>Baltimore, MD</t>
  </si>
  <si>
    <t>Chase Bank</t>
  </si>
  <si>
    <t>Founded in 1799, Chase Bank is the United States consumer and commercial banking business of JPMorgan Chase &amp; Company, headquartered in New York City, New York. The bank offers personal banking services such as checking accounts, savings accounts, mortgages, credit cards, home equity, lines of credit, and auto loans. Chase Bank also offers business banking services such as business checking, business credit cards, merchant services, asset-based lending, and business lending services.</t>
  </si>
  <si>
    <t>Chris Mortimer &amp; Associates</t>
  </si>
  <si>
    <t>Chris Mortimer &amp; Associates is a law firm based in Hillcrest, South Africa. The firm provides legal advisory services to small and middle-market companies.</t>
  </si>
  <si>
    <t>Hillcrest, South Africa</t>
  </si>
  <si>
    <t>CI Capital Holding Company</t>
  </si>
  <si>
    <t>Founded in 1998, CI Capital Holding Company is an investment banking firm headquartered in Sheikh Zayed City, Egypt. The firm provides services in leasing, microfinance, investment banking, securities brokerage, research, asset management, custody, and mortgage finance The firm caters services to global and regional institutions and family offices, large corporates, small and medium enterprises, and high net worth and individual investors.</t>
  </si>
  <si>
    <t>Sheikh Zayed City, Egypt</t>
  </si>
  <si>
    <t>CI Capital Investment Banking</t>
  </si>
  <si>
    <t>Citigroup Global Markets</t>
  </si>
  <si>
    <t>Established in 1977, Citigroup Global Markets represents the corporate banking and capital markets arm of Citigroup's broader Corporate and Investment Banking group and is based in New York City, New York. The firm serves mergers and acquisitions, divestitures, financing, underwriting, debt trading, equities, and derivatives. The unit has a presence in approximately 100 countries. Another segment of the CIB, transaction services, offers cash management, securities lending, custody, and clearing services.</t>
  </si>
  <si>
    <t>CL King &amp; Associates</t>
  </si>
  <si>
    <t>Founded in 1972, C.L. King &amp; Associates is a woman-owned full-service investment bank and broker-dealer based in Albany, New York. The firm provides capital market underwriting, equity research, investment banking, debt and equity securities sales and trading, and investor services to corporations and institutions.</t>
  </si>
  <si>
    <t>Albany, NY</t>
  </si>
  <si>
    <t>Clairfield International</t>
  </si>
  <si>
    <t>Founded in 2004, Clairfield International is a financial advisory firm headquartered in Geneva, Switzerland. The firm provides services in mergers, acquisitions, divestitures, private equity, management buy-outs, debt and equity placements, capital market transactions, family business, and financial restructuring advisory services. It also offers strategic and valuation advisory services. Clairfield International caters to the company, financial services, food, agribusiness, industrial, renewable energy, technology, media, telecommunications, healthcare, and consumer goods sectors.</t>
  </si>
  <si>
    <t>Cleary Gottlieb Steen &amp; Hamilton</t>
  </si>
  <si>
    <t>Established in 1946, Cleary Gottlieb Steen &amp; Hamilton is an independent law firm headquartered in New York City, New York. The firm provides services in mergers, acquisitions, capital markets, bankruptcy, restructuring, litigation, corporate advisory, corporate governance, structured finance, joint ventures, and many more. The firm caters to clients in energy, banking, financial institutions, real estate, sports, airlines, aviation, aerospace, manufacturing, industrial, and telecommunication industries.</t>
  </si>
  <si>
    <t>Cohen &amp; Cohen Law</t>
  </si>
  <si>
    <t>Established in 1991, Cohen &amp; Cohen Law is a law firm headquartered in Washington, District of Columbia. The firm practices in the matters of auto accidents, accident lawyers, medical malpractice, personal injury, workers' compensation, wrongful death, product injury, metro accident, train accident, asbestos, laser hair removal injuries, and additional services.</t>
  </si>
  <si>
    <t>Cole Schotz</t>
  </si>
  <si>
    <t>Founded in 1928, Cole Schotz is a law firm based in Hackensack, New Jersey. The firm's practice areas include bankruptcy, corporate restructuring, mergers, acquisitions, corporate tax planning, digital currency, litigation, and intellectual property. Cole Schotz caters to the construction, hospitality, technology, healthcare, and real estate sectors.</t>
  </si>
  <si>
    <t>Hackensack, NJ</t>
  </si>
  <si>
    <t>Commerce &amp; Finance Law Offices</t>
  </si>
  <si>
    <t>Founded in 1992, Commerce &amp; Finance Law Offices is a law firm headquartered in Beijing, China. The firm specializes in capital markets, domestic capital markets, overseas capital markets, litigation, arbitration, banking and finance, mergers and acquisitions, private equity, investment funds, outbound investment, foreign direct investment, intellectual property, compliance and government regulation, cybersecurity and data protection, new economy, healthcare, real estate and construction, insolvency and restructuring, antitrust and competition, labor and employment, securities compliance, administrative and criminal action, taxation and wealth planning.</t>
  </si>
  <si>
    <t>Beijing, China</t>
  </si>
  <si>
    <t>China</t>
  </si>
  <si>
    <t>Common Fund For Commodities</t>
  </si>
  <si>
    <t>Compass Capital Partners</t>
  </si>
  <si>
    <t>Alexandria, Australia</t>
  </si>
  <si>
    <t>Compass Lexecon</t>
  </si>
  <si>
    <t>Compass Lexecon is an economic consulting firm based in Washington DC, District of Columbia. Founded in 1977, the firm provides a wide array of services to its clients which include class certification, auctions, corporate governance, international trade, mergers and acquisitions litigation, valuation, arbitration, tax services, and financial analysis. Compass Lexecon caters to the energy, media, manufacturing, healthcare, transportation, retail, telecommunications, real estate, and technology sectors.</t>
  </si>
  <si>
    <t>Cordros Capital</t>
  </si>
  <si>
    <t>Cordros Capital is an investment banking firm based in Lagos, Nigeria. The firm provides comprehensive financial advisory services to big corporations, small and medium enterprises, emerging growth companies, financial institutions, private equity investors, and governments in areas of mergers and acquisitions advisory, corporate restructuring, equity and debt capital raising, project financing, and public sector advisory among others.</t>
  </si>
  <si>
    <t>Corporate Finance International (Amsterdam)</t>
  </si>
  <si>
    <t>Founded in 2006, Corporate Finance International is an investment bank headquartered in Amsterdam, Netherlands. The firm specializes in cross-border acquisitions, divestitures, capital raising, and related services worldwide. Corporate Finance International primarily caters to the industrials, software, real estate, media, hospitality, and consumer sectors.</t>
  </si>
  <si>
    <t>Corporate Synergy</t>
  </si>
  <si>
    <t>Coulson Harney Advocates</t>
  </si>
  <si>
    <t>Countingup</t>
  </si>
  <si>
    <t>Founded in 2017, Countingup is an accounting and auditing firm headquartered in London, United Kingdom. The firm provides services for accounting, invoicing, expenses, small businesses, freelancers, consultants, contractors, accountants, tax, business, sole traders, fintech, accounting software, limited companies, tax returns, business finance, accountancy, self-employed, and software.</t>
  </si>
  <si>
    <t>Crescent Capital Group</t>
  </si>
  <si>
    <t>Founded in 1991, Crescent Capital Group is a lender headquartered in Los Angeles, California. The firm invests in debt securities at all levels of a company's capital structure. It has been investing in senior bank loans, high-yield bonds, mezzanine debt, special situations, junior debt, unitranche securities, and distressed debt securities. Crescent Capital Group caters to various industries such as electronics, telecommunications, agriculture, commercial products, transportation, business services, healthcare, consumer goods, services, manufacturing, financial services, and insurance.</t>
  </si>
  <si>
    <t>Crested Capital</t>
  </si>
  <si>
    <t>Founded in 2004, Crested Capital is an investment banking firm headquartered in Kampala, Uganda. The firm provides investment advisory, transaction advisory, and investment banking services. The firm caters to sectors including publishing, retail, real estate, agriculture, infrastructure, industrials and others.</t>
  </si>
  <si>
    <t>CrossBoundary</t>
  </si>
  <si>
    <t>CrossBoundary is a frontier market investment advisory firm headquartered in New York, New York. The firm provides services related to capital raising, strategic advisory, due diligence, and market assessment. Crossboundary's clients include governments, development finance institutions, private equity firms, Fortune 100 companies, and research institutions.</t>
  </si>
  <si>
    <t>Crowdstartr</t>
  </si>
  <si>
    <t>D'Ornano + Co.</t>
  </si>
  <si>
    <t>Founded in 2015, D'Ornano + Co. is a global advisory firm headquartered in New York City, New York. The firm is a global advisory firm pioneering Advanced Growth Intelligence (AGI), a comprehensive diligence process for assessing the fundamentals of Disruptive Technology companies, both companies enabling new technologies and those putting them front and center of their business models. AGI breaks down traditional silos to offer trustworthy business intelligence, enabling investors and management teams to make the right investment decisions and to build effective value-creation plans and exit strategies.</t>
  </si>
  <si>
    <t>Davidson Jamieson &amp; Cristini</t>
  </si>
  <si>
    <t>Established in 1956, Davidson, Jamieson &amp; Cristini is a certified public accounting firm based in Dunedin, Florida. The firm's services include personal and small-business tax work and consulting, forensic accounting and litigation support, business valuation, estate and personal financing tax planning, small business accounting, auditing and fiduciary services.</t>
  </si>
  <si>
    <t>Dunedin, FL</t>
  </si>
  <si>
    <t>Davies Ward Phillips &amp; Vineberg</t>
  </si>
  <si>
    <t>Founded in 2001, Davies Ward Phillips &amp; Vineberg is a law firm headquartered in Toronto, Canada. The firm provides legal services in the areas of banking, capital markets, real estate, corporate, environment, taxation, and litigation. Additionally, the firm assists with mergers, acquisitions, joint ventures, restructurings, and private equity transactions. Davies caters to communication, media, infrastructure, life sciences, technology, energy, financial services, mining, and retail sectors, among others.</t>
  </si>
  <si>
    <t>Debevoise &amp; Plimpton</t>
  </si>
  <si>
    <t>Founded in 1931, Debevoise &amp; Plimpton is a law firm headquartered in New York City, New York. This firm provides legal services in business restructuring, corporate governance, antitrust, hedge funds, private equity, mergers and acquisitions, structured finance, derivatives, and hedge funds. The firm caters to the consumer, retail, energy, healthcare, insurance, infrastructure, real estate, technology, media, telecommunications, industrial, and manufacturing industries.</t>
  </si>
  <si>
    <t>Dechert</t>
  </si>
  <si>
    <t>Founded in 1874, Dechert is a law firm headquartered in Philadelphia, Pennsylvania. The firm has advised private equity, private credit, and other alternative asset managers for 40 years on capital solutions at every phase of the investment life cycle. The firm forms funds, negotiates investments, advises on transactions and financings that maximize value, and structures and executes exits accomplished at the right time to deliver the best returns. With lawyers in the United States, Europe, Asia, and the Middle East, our interdisciplinary global team has the reach, resources, and expertise to advise our clients wherever they do business.</t>
  </si>
  <si>
    <t>Philadelphia, PA</t>
  </si>
  <si>
    <t>Deloitte Corporate Finance</t>
  </si>
  <si>
    <t>Founded in 2001, Deloitte Corporate Finance is a financing advisory headquartered in Charlotte, North Carolina. The firm provides strategic advisory services and mergers and acquisitions advice to corporate, entrepreneurial, and private equity clients across the globe. Deloitte Corporate Finance caters to business services, consumer products, energy and resources, financial institutions, telecommunication, media and technology, life sciences, healthcare, and industrial products.</t>
  </si>
  <si>
    <t>Deloitte Morocco</t>
  </si>
  <si>
    <t>Denmark's Export and Investment Fund</t>
  </si>
  <si>
    <t>Founded in 2023, Denmark's Export and Investment Fund is a lender headquartered in Nordhavn, Denmark. The firm provides financing solutions such as loans, debt, and venture debt. The firm also offers a guarantee that facilitates a loan from the bank.</t>
  </si>
  <si>
    <t>Nordhavn, Denmark</t>
  </si>
  <si>
    <t>Denmark</t>
  </si>
  <si>
    <t>Dentons ACAS-Law</t>
  </si>
  <si>
    <t>Founded in 1991, Dentons ACAS-Law is a commercial law firm headquartered in Lagos, Nigeria. The firm offers legal services in the areas of corporate and commercial, mergers and acquisitions, dispute resolution, energy and project finance, foreign investment, immigration, intellectual property, labor and employment, litigation and arbitration, privatization and concession, securitization, shipping and international trade, structured finance, and tax. The firm caters to banking and finance, real estate and construction, aviation, media, sports, entertainment, mining, oil and gas, power, property, telecommunications, transport, and infrastructure sectors.</t>
  </si>
  <si>
    <t>Detail Commercial Solicitors</t>
  </si>
  <si>
    <t>Detail Commercial Solicitors is a commercial law firm based in Lagos, Nigeria. The firm provides advisory services to Nigerian companies on corporate commercial law, intellectual property, due diligence, regulatory and corporate compliance, corporate secretarial, and fiduciary support. Detail's practice areas are capital markets, finance, corporate &amp; commercial, private equity, infrastructure/public-private partnerships (PPP), energy (power, oil &amp; gas), real estate &amp; construction, technology, intellectual property, media, and entertainment.</t>
  </si>
  <si>
    <t>DSK Legal</t>
  </si>
  <si>
    <t>Founded in 2001, DSK Legal is a law firm headquartered in Mumbai, India. The firm provides services in the areas of banking and finance law, commercial law, employment law, intellectual property, litigation, arbitration, transactional law, due diligence, private equity, joint ventures, mergers and acquisitions, corporate finance, debt refinancings, and insolvencies.</t>
  </si>
  <si>
    <t>Mumbai, India</t>
  </si>
  <si>
    <t>Duane Morris</t>
  </si>
  <si>
    <t>Established in 1904, Duane Morris is a law firm based in Philadelphia, Pennsylvania. The firm offers legal advisory services to the automotive, capital markets, commercial lending, construction, energy, financial markets, financial services, manufacturing, and pharmaceutical industries. The firm's areas of practice include securities law, real estate, taxation, intellectual property, domestic and international energy, employment and labor relations, employee benefits and executive compensation, environmental law, regulatory compliance, debt and equity restructuring, reorganization, and financial services, healthcare, international law, immigration, product liability, information technologies, and telecommunication.</t>
  </si>
  <si>
    <t>Dunport Capital</t>
  </si>
  <si>
    <t>Founded in 2017, Dunport Capital Management is a lender headquartered in Dublin, Ireland. The firm provides debt financing, and growth capital including acquisition financing, subordinated debt, loans, mezzanine, and junior capital. Dunport caters to consumer goods, telecoms, healthcare, hospitality, retail, manufacturing, renewable energy, business services, media and technology.</t>
  </si>
  <si>
    <t>Dutch VCL</t>
  </si>
  <si>
    <t>Eidgenössische Stiftung</t>
  </si>
  <si>
    <t>Founded in 1918, Eidgenössische Stiftung was a lender headquartered in Zurich, Switzerland.</t>
  </si>
  <si>
    <t>El Maazawy &amp; Partners</t>
  </si>
  <si>
    <t>Enexus Finance</t>
  </si>
  <si>
    <t>Established in 2018, Enexus Finance is an investment banking firm based in Paris, France, and has an office in Abidjan, Ivory Coast. The firm provides mergers, acquisitions, fundraising services, and debt advisory to African companies as well as international companies looking to expand in Africa. Enexus Finance caters to industries such as agribusiness, food industry, trading, manufacturing, chemicals, transport, logistics, storage, construction, retail, hospitality, commercial, real estate, healthcare, education, and financial sectors.</t>
  </si>
  <si>
    <t>ERM and IBIS</t>
  </si>
  <si>
    <t>Ernst &amp; Young Capital Advisors</t>
  </si>
  <si>
    <t>Incorporated in 2009, Ernst &amp; Young Capital Advisors is a registered broker-dealer and an investment banking firm headquartered in New York City, New York. The firm offers middle-market services on mergers and acquisitions, and debt and equity capital market transactions. The firm mainly caters to automotive, consumer products and retail, energy, industrials, healthcare, and technology industries.</t>
  </si>
  <si>
    <t>European Bank for Reconstruction and Development</t>
  </si>
  <si>
    <t>Founded in 1991, the European Bank for Reconstruction and Development is a lending firm headquartered in London, United Kingdom. The firm provides project financing for banks, industries, and businesses, as well as new ventures and investments in existing companies. EBRD caters to financial intermediaries, such as local commercial banks, micro-business banks, equity funds, and leasing facilities.</t>
  </si>
  <si>
    <t>Exchange Sponsors</t>
  </si>
  <si>
    <t>Craighall, South Africa</t>
  </si>
  <si>
    <t>Exits (Financial Services)</t>
  </si>
  <si>
    <t>Expen</t>
  </si>
  <si>
    <t>Founded in 2013, Expen is a financial advisory and management consulting firm based in Paris, France. The firm provides services in the areas of fundraising, mergers and acquisitions, due diligence, and valuation. The firm provides services to healthcare, consumer products, finance technology, food technology and information technology sectors among others.</t>
  </si>
  <si>
    <t>EY Finland</t>
  </si>
  <si>
    <t>Founded in 1989, EY Finland is an independent accounting/auditor firm headquartered in Helsinki, Finland. The firm provides advisory services on mergers, acquisitions, private equity, venture capital, buyouts, insolvency, and joint venture transactions. The firm caters to clients in the textiles, software, energy, media, insurance, healthcare, transportation, media, manufacturing, infrastructure, and mobile industries among others.</t>
  </si>
  <si>
    <t>Fanisi</t>
  </si>
  <si>
    <t>Figg Africa</t>
  </si>
  <si>
    <t>Figg Africa is a crowdfunding platform, headquartered in Lagos, Nigeria. The firm creates a bridge between investors looking to invest in Africa at the early stage and African entrepreneurs. The firm caters to the software industry.</t>
  </si>
  <si>
    <t>FNCA Sweden</t>
  </si>
  <si>
    <t>Founded in 2015, FNCA Sweden is a consulting firm headquartered in Sweden. The firm provides counseling services. The firm provides owners, boards, and company management with advice before listing on Nasdaq Stockholm and First North.</t>
  </si>
  <si>
    <t>FOCUS Investment Banking</t>
  </si>
  <si>
    <t>Established in 1982, FOCUS Investment Banking is an investment banking firm headquartered in Vienna, Virginia. The firm provides middle-market financial advisory services such as capital financing, mergers and acquisitions, divestitures, strategic partnering, and corporate valuations. FOCUS Investment Banking caters to various industries such as aerospace and defense, healthcare, software, information technology, manufacturing, business services, and automotive, among others.</t>
  </si>
  <si>
    <t>Vienna, VA</t>
  </si>
  <si>
    <t>Frederick Fyle &amp; Company</t>
  </si>
  <si>
    <t>Founded in 2013, Frederick Fyle Partners is a boutique investment bank firm headquartered in London, United Kingdom. The firm is dedicated to providing tailored financial advisory services. The firm specializes in mergers and acquisitions, capital raising, Debt Restructuring, and strategic advisory for small to mid-sized businesses. The firm has a team that delivers personalized solutions to meet the unique needs of each client, ensuring optimal outcomes and fostering long-term growth and success.</t>
  </si>
  <si>
    <t>FS Investments</t>
  </si>
  <si>
    <t>Founded in 2007, FS Investments is a lender headquartered in Philadelphia, Pennsylvania. The firm provides services for alternative asset classes and strategies, including private equity, credit, real assets, and multi-asset investments.</t>
  </si>
  <si>
    <t>FTI Consulting (NYS: FCN)</t>
  </si>
  <si>
    <t>Founded in 1982, FTI Consulting is a financing advisory firm based in Washington, District of Columbia. The firm offers advisory services in the areas of corporate finance, restructuring, transaction advisory, economics, financial consulting, valuations, intellectual property, arbitration, compliance, data and analytics, litigation consulting, and strategic communications. The firm caters to industries including aerospace, defense, agriculture, automotive, construction, energy, power, products, environmental, financial institutions, healthcare and life science, hospitality, gaming, leisure, mining, public sector, and government contracts, real estate, retail, and consumer products, telecom, media, technology, and transportation. The firm also offers Investment Banking services through a wholly owned investment banking subsidiary, FTI Capital Advisors.</t>
  </si>
  <si>
    <t>FTL Advogados</t>
  </si>
  <si>
    <t>Founded in 2017, FTL Advogados is a law firm headquartered in, Luanda, Angola. The firm provides legal services in mergers and acquisitions, joint ventures, private equity, private placement, and seed funding. FTL Advogados caters to sectors of transportation, energy, healthcare, software, health-tech, and infrastructure.</t>
  </si>
  <si>
    <t>Luanda, Angola</t>
  </si>
  <si>
    <t>Angola</t>
  </si>
  <si>
    <t>Middle Africa</t>
  </si>
  <si>
    <t>FundedByMe</t>
  </si>
  <si>
    <t>Founded in 2010, FundedByMe is a crowdfunding and tech company headquartered in Stockholm, Sweden. The firm focuses on financial markets and offers a digital and global platform for financial support for startups and growth companies around the globe.</t>
  </si>
  <si>
    <t>Galenisys and BlueBirds</t>
  </si>
  <si>
    <t>GALENISYS Pharmaceutical Consultants</t>
  </si>
  <si>
    <t>Geekdom Fund</t>
  </si>
  <si>
    <t>Founded in 2014, Geekdom Fund is a business intermediary headquartered in San Antonio, Texas. The firm helps connect early-stage venture capital and angel investors to potential companies.</t>
  </si>
  <si>
    <t>Gibson, Dunn &amp; Crutcher</t>
  </si>
  <si>
    <t>Founded in 1890, Gibson, Dunn &amp; Crutcher is a law firm headquartered in Los Angeles, California. The firm's practice areas include administrative, antitrust, and trade regulation, business restructuring and reorganization, intellectual property, appellate and constitutional, executive compensation, and employee benefits. Additional practice areas include corporate, outsourcing, capital markets, mergers and acquisitions transactions, real estate, and environmental law. Gibson Dunn also assists clients with arbitration, crisis management, securities litigation, legal malpractice defense services, white-collar defense, and investigations. The firm serves clients in the healthcare, life sciences, technology, financial, real estate, energy, media and entertainment, and infrastructure sectors, among others.</t>
  </si>
  <si>
    <t>Gide Loyrette Nouel</t>
  </si>
  <si>
    <t>Founded in 1920, Gide Loyrette Nouel is a full-service law firm headquartered in Paris, France. The firm provides a wide range of services in the areas of mergers and acquisitions, public offers of exchange, stocks and bonds issues, stock exchange flotations, privatizations, banking, and finance law, bank financing, tenants, patents, brands, securitization, international debt, capital securities issues, accounting, derivatives, and structured products. Gide Loyrette Nouel caters to the aviation, aerospace, banks, insurance, public services, telecommunications, media and technology, real estate, government, and healthcare sectors.</t>
  </si>
  <si>
    <t>Gleiss Lutz</t>
  </si>
  <si>
    <t>Established in 1949, Gleiss Lutz is a law firm headquartered in Stuttgart, Germany. The firm practices in the areas of mergers and acquisitions transactions, private equity deals, capital markets, banking and finance, dispute resolution, litigation, arbitration, public law, public procurement, data protection, venture capital deals, commercial law, and environmental law. Gleiss Lutz caters to sectors such as energy, media, retail, healthcare, construction, information technology, software, transportation, manufacturing, and infrastructure.</t>
  </si>
  <si>
    <t>Stuttgart, Germany</t>
  </si>
  <si>
    <t>GLG &amp; Partners</t>
  </si>
  <si>
    <t>GLG &amp; Partners is a law firm based in Milan Italy. The firm offers legal advisory in company law and mergers and acquisitions, corporate governance and compliance, capital markets, financial markets, banking and derivatives, contracts, incorporation of companies, litigation, intellectual property, privacy, media, and new technology law, and credit management.</t>
  </si>
  <si>
    <t>Milan, Italy</t>
  </si>
  <si>
    <t>Italy</t>
  </si>
  <si>
    <t>Global Health Investment Corporation</t>
  </si>
  <si>
    <t>Founded in 2012, Global Health Investment Fund is based in New York City, United States. The fund is an investment fund that provides financing to advance the development of drugs, vaccines, diagnostics, and other interventions against diseases. The fund has supported late-stage innovations for global health challenges such as postpartum hemorrhage, malaria, cataracts, cholera, HIV, and river blindness, with an emphasis on infectious diseases and maternal/infant health issues that cause significant morbidity and mortality in resource-limited settings. The firm used a range of investment structures including preferred equity, convertible debt, and project financing.</t>
  </si>
  <si>
    <t>Globalscope Partners</t>
  </si>
  <si>
    <t>Established in 1987, Globalscope Partners is a group of entrepreneurial corporate finance and business advisory firms headquartered in London, United Kingdom. The firm provides acquisition, divestment, sale, restructuring, fundraising, international joint ventures, and licensing initiatives services to its clients. This firm also focuses on sectors such as chemicals, gases, pharmaceuticals, transportation, software, real estate, logistics, private equity, telecommunications, media, energy, and healthcare.</t>
  </si>
  <si>
    <t>GoodUp</t>
  </si>
  <si>
    <t>Gordon Brown Law Firm</t>
  </si>
  <si>
    <t>Founded in 2011, Gordon Brown Law Firm is a Newcastle Upon Tyne, United Kingdom-based law firm. The firm's practice areas include family law, property, wills and trusts, corporate law, debt management, employment law, start-ups and micro businesses, and dispute resolution.</t>
  </si>
  <si>
    <t>Newcastle Upon Tyne, United Kingdom</t>
  </si>
  <si>
    <t>Grant Thornton France</t>
  </si>
  <si>
    <t>Incorporated in 1963, Grant Thornton France is a professional services firm headquartered in Neuilly-sur-Seine, France. The firm assists clients with services such as audit, financial advisory, operational consulting and outsourcing, legal and tax advice, financial services, and sustainability services. Grant Thornton assists clients across domains such as agribusiness, financial services, aeronautics, defense, and security.</t>
  </si>
  <si>
    <t>Neuilly sur Seine, France</t>
  </si>
  <si>
    <t>Greenbrook Communications</t>
  </si>
  <si>
    <t>Established in 2012, Greenbrook Communications is a public relations and financing advisory firm headquartered in London, United Kingdom. The firm specializes and provides services in the areas of fundraising, growth strategies, portfolio company support, fund launch communications, proactive profile management, company restructuring, and insolvencies. Greenbrook has experience of advising across a diverse range of strategies and asset classes, including private equity, hedge funds, credit, and real assets.</t>
  </si>
  <si>
    <t>Grindrod Bank</t>
  </si>
  <si>
    <t>Founded in 1994, Grindrod Bank is an investment and commercial bank headquartered in Durban, South Africa. The bank provides services and financing in the areas of online money management, cash deposits, fixed deposits, corporate debt, recapitalization, property financing, investment banking corporate finance services, initial public offerings, mergers, acquisitions, sell-side and buy-side, equity capital market listings, valuations, and fairness opinions.</t>
  </si>
  <si>
    <t>Durban, South Africa</t>
  </si>
  <si>
    <t>HAVAIC</t>
  </si>
  <si>
    <t>Founded in 2015, Havaic is a financing advisory firm headquartered in Cape Town, South Africa. The firm provides services in the areas of angel investing, venture capital, and private equity. The firm caters to healthcare, information technology, retail, software, media and other consumer products and services.</t>
  </si>
  <si>
    <t>Helios Investment Partners</t>
  </si>
  <si>
    <t>Herbert Smith Freehills</t>
  </si>
  <si>
    <t>Founded in 2012, Herbert Smith Freehills is a law firm headquartered in London, United Kingdom. The firm provides services in restructuring, turnaround, corporate governance, human rights, capital markets, climate change, competition, corporate crime, mergers, acquisitions, and employment. The firm caters to industries including banking and finance, consumer products and services, energy, infrastructure, real estate, healthcare, agribusiness, media, automotive, technology, media, and telecommunications.</t>
  </si>
  <si>
    <t>Hinnawi Advocates</t>
  </si>
  <si>
    <t>HR Levin Attorneys Notaries and Conveyancers</t>
  </si>
  <si>
    <t>HSBC Bank UK</t>
  </si>
  <si>
    <t>Founded in 1865, HSBC Bank UK is a commercial bank, headquartered in Birmingham, United Kingdom. The bank offers financial products and services such as current and saving accounts, short and long-term loans, investing, insurance, global payables and receivables, business cards, and payments to individuals as well as businesses.</t>
  </si>
  <si>
    <t>Birmingham, United Kingdom</t>
  </si>
  <si>
    <t>HWL Ebsworth Lawyers</t>
  </si>
  <si>
    <t>Established in 1890, HWL Ebsworth Lawyers is a law firm based in Melbourne, Australia. The firm's practice areas include banking, and finance, capital markets, and commercial and funds management. HWL Ebsworth primarily caters to the agriculture, shipping, technology, health and life sciences, and automotive sectors.</t>
  </si>
  <si>
    <t>I&amp;P Ibrachy Legal Consultancy</t>
  </si>
  <si>
    <t>Established in 2006, I&amp;P Ibrachy Legal Consultancy is a law firm based in Cairo, Egypt. The firm services mergers, acquisitions, public and private transactions, demergers, spin-offs, joint ventures, leveraged and management buy-outs, cash and stock acquisitions, corporate restructuring, initial public offerings, pre-initial public offerings private placements, privatization, secondary offerings, sale, recapitalization, corporate governance, compliance, dispute resolution, incorporation and licensing of companies, corporate governance, shareholder agreements, commercial agreements, debt restructuring, refinancing, mezzanine lending, asset finance, and project finance. I&amp;P's client base includes corporations, individual investors, international financial institutions, private equity firms, non-governmental organizations, leading foreign law firms, and governmental organizations in the sectors including construction, oil, gas, natural resources, banking, and finance, among others.</t>
  </si>
  <si>
    <t>Ibex Frontier</t>
  </si>
  <si>
    <t>Richmond, VA</t>
  </si>
  <si>
    <t>IBIS Financial Corporation</t>
  </si>
  <si>
    <t>IBIS Financial Corporation is a lender, based in Arcadia, California. The firm provides lending solutions such as business loans, home loans, hard loans, and construction loans. IBIS Financial Corporation caters to residential and commercial clients in California.</t>
  </si>
  <si>
    <t>Arcadia, CA</t>
  </si>
  <si>
    <t>Ibrachy &amp; Dermarkar</t>
  </si>
  <si>
    <t>Founded in 1932, Ibrachy &amp; Dermarkar is a law firm headquartered in Dokki, Egypt. The firm provides legal services in mergers and acquisitions, mezzanines, loans, debt management buyouts, competition law, corporate law, litigation, space law, sports law, and tax law. Ibrachy &amp; Dermarkar caters to construction, real estate, telecommunication, media, technology, energy, and oil and gas sectors.</t>
  </si>
  <si>
    <t>Dokki, Egypt</t>
  </si>
  <si>
    <t>IMAP Southeast Europe</t>
  </si>
  <si>
    <t>IMAP Southeast Europe is a financing advisory firm headquartered in Zagreb, Croatia. The firm assists clients in selling companies, securing equity funding for strategic growth, executing mergers and joint ventures, assessing markets and operational synergies, and raising adequate debt capital, buyout, or cash-out financing. The firm caters to the automotive, energy, food, infrastructure, healthcare, technology, transport, and logistics sectors.</t>
  </si>
  <si>
    <t>Zagreb, Croatia</t>
  </si>
  <si>
    <t>Croatia</t>
  </si>
  <si>
    <t>Impact Assets</t>
  </si>
  <si>
    <t>ImpactAssets is a lender founded in 2010 and based in Bethesda, Maryland. The foundation aims to increase the flow of capital into investments that deliver financial, social, and environmental returns. The firm specializes in impact investing, social finance, donor-advised funds, and environmental impact investing for philanthropists and individual investors.</t>
  </si>
  <si>
    <t>Bethesda, MD</t>
  </si>
  <si>
    <t>ING Financial Markets</t>
  </si>
  <si>
    <t>Founded in 2000, ING Financial Markets is a financing advisory firm based out of New York City, New York. The firm offers investment banking and financial advisory services. ING Financial Markets LLC operates as a subsidiary of ING Financial Holdings Corporation.</t>
  </si>
  <si>
    <t>Ingen Housz</t>
  </si>
  <si>
    <t>Founded in 2014, Ingen Housz is a law firm headquartered in Amsterdam, Netherlands. The firm specializes in private equity, venture capital, investment funds, mergers, acquisitions transactions, post-seed venture capital investments, exits of venture capital-backed companies, and corporate venturing transactions. Ingen Housz primarily caters to investment funds, large companies, financial institutions, management teams, and start-up entrepreneurs.</t>
  </si>
  <si>
    <t>InnoVen Capital</t>
  </si>
  <si>
    <t>Founded in 2008, InnoVen Capital is a lending firm based in Mumbai, India. The firm provides venture debt financing for early and growth-stage technology startups.</t>
  </si>
  <si>
    <t>Integration Consulting</t>
  </si>
  <si>
    <t>Founded in 1995, Integration Consulting is a management consulting firm headquartered in Sao Paulo, Brazil. The firm provides services in the areas of branding, market scanning, portfolio management, sales force remuneration, trade and marketing process redesign, transport strategy, and strategic coherence. The firm also offers services on mergers and acquisitions, cost management, budget, structure sizing, and post-merger integration. Integration Consulting caters to the agribusiness, wholesale, automotive, education, financial services, real estate, healthcare, chemicals and petrochemicals, electronics, energy, metals and mining, logistics and transport, and retail sectors.</t>
  </si>
  <si>
    <t>Sao Paulo, Brazil</t>
  </si>
  <si>
    <t>Brazil</t>
  </si>
  <si>
    <t>South America</t>
  </si>
  <si>
    <t>Invesco (NYS: IVZ)</t>
  </si>
  <si>
    <t>Founded in 1935, Invesco is a lender headquartered in Atlanta, Georgia. The firm provides debt financing facilities such as loans, expansion, revolving credit lines, second lien, secured debt, and senior debt for buyouts, expansion, and bonds to small and medium-sized companies. Invesco caters to industries such as real estate services, telecommunications service providers, restaurants, hotels, and metals.</t>
  </si>
  <si>
    <t>Investec Australia</t>
  </si>
  <si>
    <t>Investec Australia was a specialist lender established in 1974 and based in Sydney, Australia. Investec provided financial products solutions for high net worth, corporate and institutional clients across a range of niches. In Australia, the firm focused on providing services in the areas of aviation, corporate and acquisition finance, financial markets, infrastructure finance and investment, resources, corporate advisory, and property and asset management.</t>
  </si>
  <si>
    <t>Sydney, Australia</t>
  </si>
  <si>
    <t>Investisseurs &amp; Partenaires</t>
  </si>
  <si>
    <t>Investisseurs &amp; Partenaires (I&amp;P) is an impact investing group specialized in financing Small and Medium size companies in Africa. I&amp;P's goal is to support the development of responsible and profitable African SMEs. It provides capital, technical and strategic support to meet the growth needs of its African partners.</t>
  </si>
  <si>
    <t>Ouagadougou, Burkina Faso</t>
  </si>
  <si>
    <t>Burkina Faso</t>
  </si>
  <si>
    <t>Investment Management Holdings</t>
  </si>
  <si>
    <t>Seymour Pierce was an investment bank providing services in the sectors of equity capital markets, equity research, corporate finance, and corporate brokerage services. The firm was based in London, United Kingdom. The firm was acquired by Cantor Fitzgerald on February 8, 2013.</t>
  </si>
  <si>
    <t>J&amp;A Garrigues</t>
  </si>
  <si>
    <t>Founded in 1941, J&amp;A Garrigues is an international organization offering tax and legal advisory services at local, regional, and global levels, addressing diverse aspects of business law. The firm comprises a multidisciplinary team of over 2,100 professionals, collaborating to provide integrated client solutions. Operating in 12 countries across four continents, the firm emphasizes ethical practices, high service quality, and innovative approaches tailored to evolving market needs. The organization is committed to contributing to a climate of trust and responsibility, supporting sustainable and equitable business growth.</t>
  </si>
  <si>
    <t>Jakubowicz &amp; Associés</t>
  </si>
  <si>
    <t>Founded in 1996, Jakubowicz, Mallet-Guy &amp; Associés is a law firm based in Lyon, France. The service areas of the firm include corporate and tax law, ordinal and professional litigation, digital technology law, mergers and acquisitions, consumer law and web marketing. The firm caters to the automobile, e-commerce, energy, healthcare and real estate sectors.</t>
  </si>
  <si>
    <t>Kaplan &amp; Stratton Advocates</t>
  </si>
  <si>
    <t>Established in 1938, Kaplan &amp; Stratton Advocates is a law firm based in Nairobi, Kenya. The firm has 23 partners and their services include arbitration, mediation, capital markets, intellectual property, joint ventures, mergers, acquisitions, litigation, private equity, privatization, due diligence, project finance, tax, and stamp duty planning. The firm caters to competition and antitrust, computer, electronic payments, communication contracts, employment, retirement benefits, environmental, forensics, immigration, private client, international and cross-border transactions, power, energy, infrastructure, real estate, and structured finance industries.</t>
  </si>
  <si>
    <t>KCP Capital</t>
  </si>
  <si>
    <t>Kellerhals Carrard</t>
  </si>
  <si>
    <t>Established in 1885, Kellerhals Carrard is a law firm headquartered in Zurich, Switzerland. The firm offers advisory services on arbitration, antitrust, competition, capital markets, corporate, business law, insolvency, restructuring, intellectual property, litigation, sports, tax, public, and administrative law services. The firm caters to industries including products, services, energy, e-commerce, financial services, consumer products and services, healthcare, information technology, life science, manufacturing, oil, and gas sectors.</t>
  </si>
  <si>
    <t>Kenya Climate Ventures</t>
  </si>
  <si>
    <t>Kenya Climate Ventures is a lender firm headquartered in Nairobi, Kenya. The firm provides debt facilities such as debt and loan to small and medium sized enterprises to support the growth and development of the business.</t>
  </si>
  <si>
    <t>Kettani Law Firm</t>
  </si>
  <si>
    <t>Founded in 1971, Kettani Law Firm is a law firm headquartered in Casablanca, Morocco. The firm provides services in the areas such as mergers and acquisitions, corporate law, arbitration, intellectual property, trademark law, cross-border assistance, securities, civil law, real estate, energy law, aviation law, telecommunication law, and commercial litigation.</t>
  </si>
  <si>
    <t>Keystone Capital Markets</t>
  </si>
  <si>
    <t>Founded in 2015, Keystone Capital Advisors is an investment banking firm headquartered in Irvine, California. The firm offers advisory services such as mergers and acquisitions, recapitalization, debt, initial public offerings, recapitalization, buy-outs, and equity capital raises. The firm primarily caters to industrial, business services, distribution, healthcare, consumer, manufacturing, industrial, and technology sectors.</t>
  </si>
  <si>
    <t>Irvine, CA</t>
  </si>
  <si>
    <t>Kickstarter</t>
  </si>
  <si>
    <t>Founded in 2009, Kickstarter is a crowdfunding platform based in New York City, New York. The firm assists businesses and individuals in obtaining crowdfunding for desirable products. Kickstarter's platform is used by many industries, including the arts, illustration, design, comics, technology, film, food, craft, games, music, and publishing.</t>
  </si>
  <si>
    <t>Kimathi &amp; Partners Corporate Attorneys</t>
  </si>
  <si>
    <t>Kimathi &amp; Partners Corporate Attorneys is a law firm based in Accra, Ghana. The firm practices in the areas of mergers, acquisitions, joint ventures, commercial, corporate, projects, and dispute resolution. Kimathi &amp; Partners caters to banking, finance, energy, and infrastructure industries, among others.</t>
  </si>
  <si>
    <t>Kiva Capital Partners</t>
  </si>
  <si>
    <t>Koenig, Oelsner, Taylor, Schoenfeld &amp; Gaddis</t>
  </si>
  <si>
    <t>Founded in 2003, Koenig, Oelsner, Taylor, Schoenfeld &amp; Gaddis is a law firm headquartered in Denver, Colorado. The firm practices in the areas of mergers, acquisitions, private equity and venture capital investments, securities, credit finance, entity formation, employment matters, and commercial contracts. KO represents businesses, financial institutions, private equity funds, investors, and individuals. KO also specialises in the drafting, review, and negotiation of intellectual property-related transactions for software, cloud computing, and technology.</t>
  </si>
  <si>
    <t>Denver, CO</t>
  </si>
  <si>
    <t>Kohlberg Kravis Roberts (NYS: KKR)</t>
  </si>
  <si>
    <t>Founded in 1976, Kohlberg Kravis Roberts is a global investment firm based in New York City, New York. The firm manages investments across multiple asset classes including private equity, energy, infrastructure, real estate, capital markets, credit strategies, and hedge funds. The capital market services of the firm include arranging debt and equity financing for transactions of all shapes and sizes and structuring investment products. The business seeks to find opportunities to provide growth capital, minority investments, and public toehold investments where they can partner with public companies and leverage our industry expertise and operational capabilities. Their capital structure includes asset-based lending facilities, high-yield debt, revolving credit facilities, mezzanine capital, leveraged loans, equity-linked securities, uni-tranche loans, private equity, bridge loans, public equity, and special situation growth capital. The firm invests in industry sectors such as consumer products, chemicals, metals and mining, energy and natural resources, financial services, healthcare, industrial, media and communications, retail, and technology.</t>
  </si>
  <si>
    <t>Korea Investment &amp; Securities</t>
  </si>
  <si>
    <t>Established in 1974, Korea Investment &amp; Securities is an investment bank based in Seoul, South Korea. The firm advises in the areas of securities brokerage operations, initial public offering issuance, project financing, fund management, overseas stocks and bonds, stock borrowing and lending, and corporate finance. KIS caters to an array of industries including energy, media, software, capital markets, computer hardware, pharmaceuticals, and transportation sectors among others.</t>
  </si>
  <si>
    <t>Merchant Bank</t>
  </si>
  <si>
    <t>Seoul, South Korea</t>
  </si>
  <si>
    <t>South Korea</t>
  </si>
  <si>
    <t>KPMG Corporate Finance</t>
  </si>
  <si>
    <t>Founded in 2000, KPMG Corporate Finance provides investment banking and strategic advisory firm headquartered in Chicago, Illinois. The firm offers services to domestic and international clients. The firm is a leading global middle-market investment banking platform advising clients on global mergers and acquisitions, sales and divestitures, buyouts, financings, debt restructurings, equity recapitalizations, infrastructure project finance, capital advisory, and portfolio solutions, fairness opinions, and other advisory needs.</t>
  </si>
  <si>
    <t>Land and Agricultural Development Bank of South Africa</t>
  </si>
  <si>
    <t>Lattice Africa</t>
  </si>
  <si>
    <t>Founded in 2003, Lattice is a financing advisory firm based in Nairobi, Kenya. The firm's service areas include strategic planning, financial strategy, market entry strategy, business valuation, and transaction support, business planning and financial analysis, capital raising advisory, financial feasibility studies, sectoral research, market alignment, and financial integration. The firm caters to clients across Africa. Lattice Consulting in partnership with Larive International, a Netherlands-based business development consultancy, provides advice and assists Dutch and East African companies looking to partner with each other for catering to East Africa.</t>
  </si>
  <si>
    <t>Lazard Middle Market</t>
  </si>
  <si>
    <t>Founded in 1978 Lazard Middle Market was an investment banking firm headquartered in Minneapolis, Minnesota. The firm provided financial and strategic advice in the areas of mergers and acquisitions, restructuring, and placements of equity and debt to mid-sized companies. LMM catered to the business services, education, food and consumer retail, healthcare, industrials, telecommunications, media, and technology sectors. The firm ceased operations.</t>
  </si>
  <si>
    <t>Lener</t>
  </si>
  <si>
    <t>Founded in 2003, Lener is a Madrid, Spain based legal and financial consultancy firm. The firm's areas of operation include health, financial institutions, venture capital, hotels and real estate, town planning, mining, energy, transport and logistics, technology, consumers and distribution, international trade and shipping. Lener's investment bank division Lener Corporate Finance provides an array of financial services that includes mergers, acquisitions, corporate restructurings, management buyout and buy-in's and winding up.</t>
  </si>
  <si>
    <t>Lener Corporate Finance</t>
  </si>
  <si>
    <t>LFPI Group</t>
  </si>
  <si>
    <t>Founded in 2002, LFPI Group is a leading independent, multi-strategy alternative asset manager with over 28 billion euros of assets under management across Europe and North America. Initially focused on private equity in France, They steadily expanded into complementary businesses internationally through dedicated local teams. The firm is now active in Private Equity (direct investments and funds of funds), Private Debt, Real Estate, Asset Management (Mandarine Gestion), Family Offices, and wealth Management for French clients (Meeschaert Gestion Privée). The firm's investment strategy is prudent and responsible. It is generally deployed through diversified vehicles and aims to achieve satisfactory returns over the medium and long term while promoting ESG principles. The firm has over 450 professionals across 10 offices in Europe, the United States, and Asia, as well as 9 branches in France.</t>
  </si>
  <si>
    <t>Linkers Capital</t>
  </si>
  <si>
    <t>Founded in 2000, Linkers Capital is a financing advisory firm headquartered in Paris, France. The firm provides advisory services in mergers, acquisitions, capital raising, buyouts, mezzanine, senior debts, subordinated debts, spin-offs, and private equity. Linkers Capital caters to food, beverages, services, distribution, security, information technology, and energy industries.</t>
  </si>
  <si>
    <t>Linklaters</t>
  </si>
  <si>
    <t>Founded in 1838, Linklaters is a law firm headquartered in London, United Kingdom. The firm practices in the areas of global, public, and administrative law, business and human rights, corporate mergers and acquisitions, information management and data protection, procurement and outsourcing, capital markets, crisis management, private equity, restructuring, and insolvency. Linklaters caters to the automotive, banking, chemicals, energy and utilities, healthcare, industrial, insurance, infrastructure, and transport sectors.</t>
  </si>
  <si>
    <t>LLSCA Counsel</t>
  </si>
  <si>
    <t>Louati &amp; Associates</t>
  </si>
  <si>
    <t>La Marsa, Tunisia</t>
  </si>
  <si>
    <t>Tunisia</t>
  </si>
  <si>
    <t>M&amp;M Capital</t>
  </si>
  <si>
    <t>Maandate</t>
  </si>
  <si>
    <t>Maandate has been dissolved.</t>
  </si>
  <si>
    <t>Madryn Asset Management</t>
  </si>
  <si>
    <t>Founded in 2017, Madryn Asset Management is an alternative asset management firm that invests in innovative healthcare companies specializing in unique and transformative products, technologies, and services. The firm draws on its extensive and diverse experience spanning the investment management and healthcare industries and employs an independent research process based on original insights to target attractive economic opportunities that deliver strong risk-adjusted and absolute returns for its limited partners while creating long-term value in support of its portfolio companies. The firm is based in New York, New York.</t>
  </si>
  <si>
    <t>Majorelle Capital</t>
  </si>
  <si>
    <t>Founded in 2021, Majorelle Capital is a financing advisory firm based in Casablanca, Morocco. The firm specializes in mergers and acquisitions, acquisition financing, project financing, debt restructuring, fund-raising, spin-offs, fairness opinions, recapitalizations, and corporate restructurings, dedicated to all business segments.</t>
  </si>
  <si>
    <t>Mamacrowd</t>
  </si>
  <si>
    <t>Founded in 2011, Mamacrowd is an equity crowdfunding platform headquartered in Milan, Italy. The firm allows investors to invest in Italian projects including startups, small and medium enterprises, or clubs.</t>
  </si>
  <si>
    <t>Marlow Capital</t>
  </si>
  <si>
    <t>Mauritius Commercial Bank (XMAU: MCBG)</t>
  </si>
  <si>
    <t>Founded in 1838, Mauritius Commercial Bank is a commercial bank headquartered in Port Louis, Mauritius. The bank provides banking products like current accounts, savings accounts, fixed deposits, loans and advances, overdrafts, working capital, revolving credit, term loans, invoice factoring, acquisition financing, project financing, corporate cards, corporate finance, and stockbroking. MCB caters to oil and gas, hospitality, trade and distribution, financial and business services, tourism, power, telecommunications, agro-business, infrastructure, healthcare, and cement industry.</t>
  </si>
  <si>
    <t>Port Louis, Mauritius</t>
  </si>
  <si>
    <t>Mboya Wangong'u &amp; Waiyakic</t>
  </si>
  <si>
    <t>Mboya Wangong’u &amp; Waiyaki is a law firm based in Kenya, East Africa. Established in 2004, the firm corporate mergers and acquisitions, reorganization, restructuring and capital raising, capital markets, public-private partnerships, civil aviation, commercial litigation and arbitration. Mboya Wangong'u &amp; Waiyak's client base consists of multinational corporations, local and foreign companies, commercial banks, property funds, financial institutions, insurance companies, government and quasi-government bodies, stock-broking and investment companies, local authorities and manufacturers.</t>
  </si>
  <si>
    <t>MediaBridge Capital Advisors</t>
  </si>
  <si>
    <t>Founded in 2012, MediaBridge Capital Advisors is a global, industry-focused investment bank based in Boston, Massachusetts. The firm advises companies on their growth, liquidity and exit strategies by way of mergers, acquisitions, and capital investment. MediaBridge concentrates on serving companies within the media technology marketplace which includes companies that create, manage, commercialize, supply, or distribute content for the media markets.</t>
  </si>
  <si>
    <t>Medical Credit Fund</t>
  </si>
  <si>
    <t>Mediterranean Corporate Finance</t>
  </si>
  <si>
    <t>Established in 2014, Mediterranean Corporate Finance is a financing advisory firm headquartered in Tunis, Tunisia. Tge firm provides esrvices in corporate, buyout, initial public offerings, private equity and debt. Mediterranean Corporate Finance caters to agriculture, cars, food, bevarages, financial institute, building material, education, energy, and utilities.</t>
  </si>
  <si>
    <t>Tunis, Tunisia</t>
  </si>
  <si>
    <t>Merchantec Capital</t>
  </si>
  <si>
    <t>Founded in 2002, Merchantec Capital is a Corporate Finance advisory firm headquartered in Sandton, South Africa. The firm provides advisory services in the areas of mergers and acquisitions, deal origination, deal execution and implementation, debt &amp; equity capital raising, valuations, project finance advisory, financial modeling, sponsor, governance, and research.</t>
  </si>
  <si>
    <t>Merrill Lynch Pierce Fenner &amp; Smith</t>
  </si>
  <si>
    <t>Established in 1914, Merrill Lynch is a wealth management advisory firm headquartered in New York City, New York. The firm specializes in providing various wealth management services such as risk management, cash management, estate planning services, and traditional and non-traditional investment portfolio management to high-net-worth individuals, families, and non-profit organizations. Merrill Lynch mainly advises defining financial goals, family, health, buying a home, and starting or selling a business, among others.</t>
  </si>
  <si>
    <t>Mesfin Tafesse &amp; Associates</t>
  </si>
  <si>
    <t>Founded in 2007, Mesfin Tafesse &amp; Associates (MTA) is a law office providing legal advisory services to its clients. Its services include legal research, preparation of legal documents, assistance in negotiations and closing of deals, representation in court, and arbitration. The firm advises in sectors including Corporate, M&amp;A, Infrastructure and Energy Projects, and Civil Society related work.</t>
  </si>
  <si>
    <t>Addis Ababa, Ethiopia</t>
  </si>
  <si>
    <t>Ethiopia</t>
  </si>
  <si>
    <t>Messrs. K E Wood &amp; Co</t>
  </si>
  <si>
    <t>Meziou Knani &amp; Khlif</t>
  </si>
  <si>
    <t>Founded in 2009, Meziou Knani &amp; Khlif is a law firm based in Tunis, Tunisia. Founded in 2009, the firm provides legal advisory services such as mergers, acquisitions &amp; private equity, capital markets, banking &amp; financing, restructuring, company law, real estate and real estate operations, public law, and business litigation to small and middle-market companies. The firm caters to industries such as the industrial sector, Oil &amp; Gas, banking and finance, mass distribution, energy, telecommunications, and services.</t>
  </si>
  <si>
    <t>Michelmores</t>
  </si>
  <si>
    <t>Established in 1887, Michelmores is a law firm headquartered in Exeter, England. The firm provides services in areas such as commercial law, corporate law, restructuring, insolvency, intellectual property, regulatory disputes, defamation, reputation management, family law, antitrust, and regulatory and commercial disputes. The firm caters to industries including agriculture, consumer brands, energy, finance, public sector, real estate, and technology.</t>
  </si>
  <si>
    <t>Exeter, United Kingdom</t>
  </si>
  <si>
    <t>Milost Global</t>
  </si>
  <si>
    <t>Mitsubishi UFJ Securities Holdings</t>
  </si>
  <si>
    <t>Founded in 2010, Mitsubishi UFJ Securities Holdings is a financial advisory firm headquartered in Tokyo, Japan. In addition to Mitsubishi UFJ Morgan Stanley Securities and Mitsubishi UFJ Morgan Stanley PB Securities, MUSHD has subsidiaries and other affiliates undertaking securities and investment banking operations overseas. MUSHD assumes responsibility for the MUFG Group's securities and investment banking strategy by engaging in operations management and business support for these affiliated subsidiaries.</t>
  </si>
  <si>
    <t>Mitsubishi UFJ Trust and Banking</t>
  </si>
  <si>
    <t>Founded in 1927, Mitsubishi Trust and Banking is a banking and financial institution headquartered in Tokyo, Japan. The firm provides a full range of financial services related to commercial banking, asset management and administration, real estate, and stock transfer agencies. It caters to clients in the consumer and financial services, business products and services, and information technology sectors.</t>
  </si>
  <si>
    <t>Mizuho Americas</t>
  </si>
  <si>
    <t>Mizuho Americas is an investment banking firm based in New York City, New York. Mizuho Americas provides mergers, acquisitions advisory, corporate financing, project financing, debt and equity financing, and trade financing as their primary services. The firm caters to firms in consumer retail, financial institutions, healthcare, telecom, energy, power, utilities, real estate, and technology sectors among others.</t>
  </si>
  <si>
    <t>Mizuho Securities</t>
  </si>
  <si>
    <t>Founded in 1917, Mizuho Securities is an investment bank headquartered in Tokyo, Japan. The firm serves financial institutions, individuals, and small to medium-sized firms. The firm serves as a comprehensive securities company that provides various services, including equity underwriting, initial public offering consulting, investor relations consulting, bond underwriting, credit rating, and advisory services. The firm also caters to clients in the media, insurance, energy, healthcare, and retail industries.</t>
  </si>
  <si>
    <t>Mkhabela Huntley Adekeye</t>
  </si>
  <si>
    <t>Founded in 2001, Mkhabela Huntley Adekeye is a law firm headquartered in Johannesburg, South Africa. The firm provides a broad range of legal services, including insurance, corporate, commercial, and regulatory law, private and public companies, state-owned entities, and government departments. The firm caters to the energy, construction, insurance, logistics, information technology, media, materials, resources, and telecommunications sectors.</t>
  </si>
  <si>
    <t>MMAKS Advocates</t>
  </si>
  <si>
    <t>Founded in 2005, MMAKS Advocates is a law firm headquartered in Kampala, Uganda. The firm provides services for corporate and commercial law with particular expertise in banking and finance, real estate, mergers and acquisitions, capital markets, employment, and intellectual property. MMAKS Advocates cater to the sectors of energy, oil and gas, projects and infrastructure, mining, mergers and acquisitions, capital markets, private equity, general investment, and regulatory advisory across the different business sectors insurance, financial institutions, telecommunications, gaming, hospitality, and manufacturing.</t>
  </si>
  <si>
    <t>MOORE Global Corporate Finance</t>
  </si>
  <si>
    <t>MOORE Global Corporate Finance is a financing advisory firm headquartered in London, United Kingdom. The firm has expertise in mergers, acquisitions, transaction services, debt and equity funding, and valuation services. The firm caters to sectors including automotive, energy, financial services, healthcare, industrials, media, entertainment, real estate and construction, logistics, technology, and others.</t>
  </si>
  <si>
    <t>Morgan Stanley Private Credit</t>
  </si>
  <si>
    <t>Morgan Stanley Private Credit provides flexible financing solutions to middle-market companies and is the primary private credit platform at Morgan Stanley. The firm offers first-lien, second-lien, mezzanine, uni-tranche, and annual recurring revenue, cash flow-based loans, as well as structured equity and minority equity co-investments to sponsor-backed and non-sponsored companies across a variety of industries.</t>
  </si>
  <si>
    <t>Multiples Group</t>
  </si>
  <si>
    <t>Founded in 2009, Multiples Group is a financial advisory and investment banking firm based out of Dubai, United Arab Emirates and regulated under the Kenyan and Egyptian laws to operate in Nairobi and Cairo. The firm provides services in the areas of mergers and acquisitions, financial restructuring, debt and equity financing, valuation and capital raise. Multiples Group focuses on specific sectors and areas of business for private equity investment, which include real estate development and direct investments in the services and retail sectors.</t>
  </si>
  <si>
    <t>Murphy Salisbury</t>
  </si>
  <si>
    <t>Murphy Salisbury was a Accounting/auditor firm based in Warwickshire, United Kingdom. The firm was acquired by TC Group.</t>
  </si>
  <si>
    <t>Stratford-upon-Avon, United Kingdom</t>
  </si>
  <si>
    <t>New Mountain Capital</t>
  </si>
  <si>
    <t>Founded in 1999, New Mountain Capital is a lending firm based in New York City, New York. The firm manages private equity, public equity, and credit capital, net lease investment strategies. The firm also caters to the business products, services, healthcare, information technology, ed-tech, manufacturing, materials, and resources sectors.</t>
  </si>
  <si>
    <t>Nexia SAB&amp;T</t>
  </si>
  <si>
    <t>Founded in 1994, Nexia SAB&amp;T is an advisory firm based in South Africa. The firm is a part of the international auditing firm network and has been providing Accounting, Audit, and Consulting services. The firm came into being because of the director's common vision to establish a South African firm to render multi-disciplinary services to a wide spectrum of clients. Through strategic alliances, the firm has grown from strength to strength and currently employs over 500 people in its various business units.</t>
  </si>
  <si>
    <t>Centurion, South Africa</t>
  </si>
  <si>
    <t>Norfund</t>
  </si>
  <si>
    <t>Norwegian Investment Fund for Developing Countries is an economic development agency established in 1997 and headquartered in Oslo, Norway. Norfund invests in the establishment and development of profitable and sustainable enterprises in developing countries. The firm invests in equity, loans, and private equity funds. Norfund normally only offers loans to companies in which the fund already has an equity position and the loans are in the same size range as equity positions. The firm invests in three sectors: clean energy, financial institutions, and food and agribusiness.</t>
  </si>
  <si>
    <t>Oslo, Norway</t>
  </si>
  <si>
    <t>Norway</t>
  </si>
  <si>
    <t>Norsad Capital</t>
  </si>
  <si>
    <t>Norsad Capital is a regional African private debt firm and an impact investor offering debt and mezzanine financing solutions to mid-market growth companies in the Southern African region. The firm caters to business products, and services, financial services, healthcare, industrial, manufacturing, clean-tech, consumer products, and services sectors. Founded in 1990, the firm is headquartered in Gaborone, Botswana with an additional office in Johannesburg, South Africa.</t>
  </si>
  <si>
    <t>Gaborone, Botswana</t>
  </si>
  <si>
    <t>Botswana</t>
  </si>
  <si>
    <t>Oaklins</t>
  </si>
  <si>
    <t>Established in 1985, Oaklins provides mergers and acquisitions advisory services to cross-border corporate clients. The firm focuses on sales, divestitures, management buy-outs (MBOs), management buy-ins (MBIs) and strategic alliances. The firm assists in identification of target markets, location of potential sellers and buyers, and negotiation and completion of transactions. M&amp;A International serves privately held and family owned companies, public companies and financial investors.</t>
  </si>
  <si>
    <t>Oaklins France</t>
  </si>
  <si>
    <t>Founded in 2004, Oaklins France is a financial advisory firm headquartered in Paris, France. The firm provides mergers and acquisitions, leveraged buyouts, capital raising, debt advisory, growth equity, and corporate finance services. Oaklins France caters to artificial intelligence, aerospace, agriculture, construction, energy, financial services, healthcare, logistics, real estate, technology, media and telecommunication sectors.</t>
  </si>
  <si>
    <t>Ocorian</t>
  </si>
  <si>
    <t>Founded in 1971, Ocorian is a global Fund Administrator headquartered in Saint Helier, United Kingdom. The firm provides fund administration, corporate administration, financial reporting and tax services, corporate restructuring and liquidation, regulatory reporting, loan administration, debt restructuring, and legal services. Ocorian caters to trusts and companies, foundations, family offices, and private clients among others. The firm's expertise in funds includes private equity fund services, real estate funds, venture capital funds, debt funds, infrastructure funds, and fund of funds among others.</t>
  </si>
  <si>
    <t>Olaniwun Ajayi</t>
  </si>
  <si>
    <t>Founded in 1962, Olaniwun Ajayi is a commercial law firm based in Lagos, Nigeria. The firm practices asset management, banking, capital markets, corporate and commercial law, dispute resolution, intellectual property, private equity, venture capital, restructuring, insolvency, and taxation. Olaniwun Ajayi represents private entrepreneurs, key sector operators, financial institutions, governments, and multinational corporations.</t>
  </si>
  <si>
    <t>Olympus Securities</t>
  </si>
  <si>
    <t>Montville, NJ</t>
  </si>
  <si>
    <t>On-Market BookBuilds</t>
  </si>
  <si>
    <t>Founded in 2015, On-Market BookBuilds is an equity and initial public offering crowdfunding platform located in Barangaroo, Australia. The firm presents its clients with the opportunity to invest in companies from seed capital through to initial public offerings.</t>
  </si>
  <si>
    <t>Barangaroo, Australia</t>
  </si>
  <si>
    <t>Pareto Securities</t>
  </si>
  <si>
    <t>Established in 1986, Pareto Securities is an investment bank based in Oslo, Norway. The firm serves Nordic clients within the oil, offshore, shipping, and natural resources sectors. Pareto offers equities, research, corporate finance, project finance, fixed income, asset broking, asset management, business management, direct investment funds, and technical management services. Pareto Securities' Corporate Finance division offers advisory services in mergers and acquisitions and equity and debt capital markets.</t>
  </si>
  <si>
    <t>PDL Biopharma</t>
  </si>
  <si>
    <t>PDL Biopharma is a lender established in 1986 and based in Incline Village, Nevada which manages a portfolio of patents and royalty assets, license agreements with various biotechnology and pharmaceutical companies, and royalty and other assets acquired. PDL provides growth capital and financing solutions to late-stage public and private healthcare companies and offers financial monetization of royalty streams to companies, academic institutions, and inventors. The firm is focused on intellectual property asset management, investing in new royalty bearing assets and providing debt facilities to its clients.</t>
  </si>
  <si>
    <t>Incline Village, NV</t>
  </si>
  <si>
    <t>Pekao Investment Banking</t>
  </si>
  <si>
    <t>Pekao Investment Banking is an investment bank headquartered in Warsaw, Poland. The firm provides services in the areas of mergers, acquisitions, capital raising, financial restructuring, initial public offerings, secondary public offerings, private placements, debt capital, and brokerage. Pekao caters to industries such as business products, consumer products, financial services, and healthcare.</t>
  </si>
  <si>
    <t>Warsaw, Poland</t>
  </si>
  <si>
    <t>Poland</t>
  </si>
  <si>
    <t>Perigeum Capital</t>
  </si>
  <si>
    <t>Founded in 2016, Perigeum Capital is a boutique corporate finance firm geared towards providing businesses with the insights and expertise required for the successful planning, structuring and execution of transactions falling within the scope of their respective strategic objectives. The firm has a team of seasoned corporate finance and capital markets experts, M&amp;As, capital raising transactions and successfully advising on the listings of various companies on the Stock Exchange of Mauritius Ltd.</t>
  </si>
  <si>
    <t>Pfizer Ventures</t>
  </si>
  <si>
    <t>Pfizer Venture Investments is a venture capital firm headquartered in New York. The firm prefers to invest in companies operating in the therapeutics, platform technologies, diagnostics, drug delivery, pharmaceutical services, healthcare IT and other technology sectors. PVI was established in 2004 and operates as a venture capital arm of Pfizer.</t>
  </si>
  <si>
    <t>PicMii Crowdfunding</t>
  </si>
  <si>
    <t>Lancaster, PA</t>
  </si>
  <si>
    <t>Pinsent Masons</t>
  </si>
  <si>
    <t>Founded in 2003, Pinsent Masons is a boutique law firm headquartered in London, United Kingdom. The firm offers litigation, international arbitration, commercial, employment, intellectual property, tax, pensions, and long-term savings services. Additionally, the firm assists in mergers and acquisitions, joint ventures, private equity, and equity capital market transactions. The firm caters to clients in the transportation, education, telecommunication, media, energy, financial services, manufacturing, infrastructure, fintech, life sciences, healthcare, construction, and real estate sectors.</t>
  </si>
  <si>
    <t>Piper Sandler (NYS: PIPR)</t>
  </si>
  <si>
    <t>Founded in 1895, Piper Sandler is an investment banking and asset management firm headquartered in Minneapolis, Minnesota. The firm's investment banking group partners with corporate clients and financial sponsors to provide advisory and financing services related to mergers and acquisitions, equity and debt capital markets, private placements, and restructuring transactions. The firm's core focus sectors include agriculture, business services, consumer, retail, industrials, and services, energy, financial services, and healthcare, among others.</t>
  </si>
  <si>
    <t>PLCJ</t>
  </si>
  <si>
    <t>Founded in 2007, PLCJ is a law firm headquartered in Tamarin, Mauritius. PLCJ is a full-fledged law firm offering legal advice and support under both French and Mauritian business laws, which has become the "trademark" of the law firm. The philosophy behind the establishment of the law firm is to build a bridge between Europe and the Indian Ocean in terms of business, the latter region being itself the door to Africa and Asia. We assist our clients in all aspects of business law, such as mergers and acquisitions, restructuring exercises, drafting and negotiating of contracts, joint ventures, commercial law, distribution and franchising, antitrust, data protection, labor law, litigation, arbitration, and real estate.</t>
  </si>
  <si>
    <t>Tamarin, Mauritius</t>
  </si>
  <si>
    <t>PMCF Advisors</t>
  </si>
  <si>
    <t>Established in 1995, P&amp;M Corporate Finance is an investment bank, headquartered in Southfield, Michigan. The firm offers services to individuals, family-owned businesses, large public companies, and private equity firms. The firm provides services in the areas of mergers and acquisitions, sale advisory, strategic assessments, transaction planning, fairness opinions, and capital raising. The firm caters to the business services, technology, diversified industrial, plastics and packaging, and medical technology sectors.</t>
  </si>
  <si>
    <t>Polsinelli</t>
  </si>
  <si>
    <t>Founded in 1972, Polsinelli is a law firm headquartered in Kansas City, Missouri. The firm provides services to corporations, institutions, entrepreneurs, and individuals, focusing on the healthcare, financial services, real estate, construction, life sciences, and technology industries. The firm provides services for bankruptcy, economic restructuring, capital markets, commercial lending, taxation, mergers, and acquisitions, private equity, venture capital, international trade, intellectual property, labor, employment, privacy, data security, and corporate finance.</t>
  </si>
  <si>
    <t>Kansas City, MO</t>
  </si>
  <si>
    <t>Portbridge Capital</t>
  </si>
  <si>
    <t>Founded in 2009, Portbridge Capital is a management consulting firm based in Midrand, South Africa. The firm offers services in the areas of project and corporate finance, strategic financial management, and transaction support service.</t>
  </si>
  <si>
    <t>Midrand, South Africa</t>
  </si>
  <si>
    <t>PricewaterhouseCoopers Chartered Accountants (Zimbabwe)</t>
  </si>
  <si>
    <t>Harare, Zimbabwe</t>
  </si>
  <si>
    <t>Zimbabwe</t>
  </si>
  <si>
    <t>Prime Business Capital</t>
  </si>
  <si>
    <t>Founded in 2017, Prime Business Capital is an investment and capital-raising firm based in Johannesburg, South Africa. The firm provides capital-raising services to public and private companies across the industry spectrum in a wide range of sectors including mining, energy, oil and gas, infrastructure, aviation, real estate, information technology, healthcare, and agro-processing. The company has a global footprint with clients and projects in jurisdictions across Sub-Saharan Africa, Europe, North America, Australia, and Southeast Asia.</t>
  </si>
  <si>
    <t>Prinsloo, Tindle &amp; Andropoulos</t>
  </si>
  <si>
    <t>Prinsloo, Tindle &amp; Andropoulos was a firm based in Johannesburg, South Africa. The firm ceased its operations.</t>
  </si>
  <si>
    <t>PSR Law Firm</t>
  </si>
  <si>
    <t>Founded in 2004, PSR Law Firm is an independent law firm headquartered in Berkeley, California.</t>
  </si>
  <si>
    <t>Berkeley, CA</t>
  </si>
  <si>
    <t>PwC Hong Kong</t>
  </si>
  <si>
    <t>PwC Hong Kong is an accounting and auditing firm based in Hong Kong, China. The firm services accounting, auditing, assurance, consulting, tax solutions mergers, acquisitions, divestitures, and joint ventures. PwC Hong Kong caters to the industries of financial services, asset and wealth management, banking, capital markets, insurance, private equity, technology, media, cyber, telecommunications, life sciences, healthcare, consumer markets, and automotive.</t>
  </si>
  <si>
    <t>Hong Kong, China</t>
  </si>
  <si>
    <t>Radix Capital Partners</t>
  </si>
  <si>
    <t>Founded in 2008 Radix Capital Partners is an investment banking firm headquartered in Lagos, Nigeria. The firm provides services related to capital raising services, capital restructuring, spin-offs, and business, and financial advisory including mergers and acquisitions.</t>
  </si>
  <si>
    <t>Raizers</t>
  </si>
  <si>
    <t>Rand Merchant Bank Nigeria</t>
  </si>
  <si>
    <t>Founded in 2013, Rand Merchant Bank Nigeria is a merchant bank based in Lagos, Nigeria. The firm offers services in the areas of investment banking, sustainable finance, rights offerings, share buy-backs, commercial paper, bonds, initial public offerings, mergers, acquisitions, due diligence, risk management, governance, corporate finance, valuations, listings, corporate restructurings, loans, corporate banking, and markets research. RMBN caters to a wide range of industries including automotive, banks, development finance institutions
construction, logistics, manufacturing, media, oil, gas, public sector, real estate, retail, technology, and telecommunications.</t>
  </si>
  <si>
    <t>ReadyCap Lending</t>
  </si>
  <si>
    <t>Founded in 2012, ReadyCap Lending is a lender headquartered in New York City, New York. The firm provides small business administration loans, business operating loans, and commercial real estate loans. ReadyCap Lending caters to healthcare, medical, shipping, insurance, manufacturing, and pharmacy sectors.</t>
  </si>
  <si>
    <t>Republic Europe</t>
  </si>
  <si>
    <t>Founded in 2009, Republic Europe is an equity crowdfunding platform headquartered in London, United Kingdom. The firm specializes in online investing, capital raising, alternative finance and start-ups, seed, and angel investing. Seedrs caters to clients in agriculture, energy, insurance, healthcare, life sciences, manufacturing, and the Software as a service industry, among others.</t>
  </si>
  <si>
    <t>Revtek Capital</t>
  </si>
  <si>
    <t>Established in 2021, RevTek Capital is a boutique asset manager based in Phoenix, United States. The firm specializes in tailored credit solutions for SaaS technology companies and other high-growth recurring revenue businesses. The firm provides alternative investment products for high-net-worth investors, family offices, financial advisors, and institutions seeking attractive, uncorrelated returns. For portfolio companies, RevTek offers flexible, founder-friendly debt capital to maximize enterprise value while minimizing dilution and is geared toward established growth companies.</t>
  </si>
  <si>
    <t>Phoenix, AZ</t>
  </si>
  <si>
    <t>Riqueza Financial Consultany</t>
  </si>
  <si>
    <t>Riqueza Financial Consultancy is a financial advisory firm based in Cairo, Egypt. The firm provides a suite of financial consulting services, including mergers and acquisitions management, capital increase and decrease, fair value reporting, strategic plan and governance policy preparation, feasibility studies, investment opportunity analysis, financial and administrative restructuring, stock exchange listing, prospectus preparation, official sponsorship, and financing file management. The firm caters to manufacturing, construction, food, agricultural, tourism, insurance, real estate investment, advertising, and tourism sectors among others.</t>
  </si>
  <si>
    <t>Rothschild &amp; Co</t>
  </si>
  <si>
    <t>Founded in 1809, Rothschild &amp; Co. is a financing advisory and investment banking firm based in Paris, France. The firm offers services in the areas of mergers and acquisitions, debt and equity financing, debt advisory, restructuring, privatizations, disposals strategy, corporate governance, and valuations to governments, companies, and individuals. Rothschild Group caters to clients in the healthcare, hotel and leisure, industrial, infrastructure, retail, telecommunications, transportation, financial services, media, and information technology sectors, among others.</t>
  </si>
  <si>
    <t>RSM UK</t>
  </si>
  <si>
    <t>Founded in 1988, RSM UK is an accounting and auditing firm headquartered in Newcastle upon Tyne, United Kingdom. The firm offers audit, accountancy, corporate tax, value-added tax, corporate finance, and advisory services to its clients. The firm also provides restructuring and recovery, forensic, international and personal tax, and business improvement services to its clients. The firm serves its clients in the government, technology, real estate, manufacturing, healthcare, and retail sectors.</t>
  </si>
  <si>
    <t>Newcastle upon Tyne, United Kingdom</t>
  </si>
  <si>
    <t>Sahel Capital</t>
  </si>
  <si>
    <t>Salans</t>
  </si>
  <si>
    <t>Salans was an international law firm with a wide range of practice areas such as arbitration, banking and finance, corporate law, tax law, capital markets, and employment. The firm also provided services focused on fund creation, fund of funds, financing, private equity, venture capital, fund and corporate governance, and public-to-private transactions. The firm has merged with Salans SNR Denton and Fraser Milner Casgrain to form Dentons.</t>
  </si>
  <si>
    <t>Samsung Securities (KRX: 016360)</t>
  </si>
  <si>
    <t>Samsung Securities is a financial investment company firm headquartered in Seoul, South Korea. Established in 1982, the firm provides equity capital markets, debt, recapitalization, bonds, acquisition, liquidation, mergers, partition, initial public offerings, secondary offerings, hostile takeover defense, governance revision, holding company setup, management issues, investment finance, private equity funds, alternative investment, and asset management services.</t>
  </si>
  <si>
    <t>Sasfin Corporate Finance</t>
  </si>
  <si>
    <t>Sasfin Corporate Finance advises companies across a broad range of industries within both the public and private sectors. The firm provides advisory services to both listed and unlisted companies focusing on mergers and acquisitions, equity and debt capital markets, BEE transactions, general strategic advice and sponsor services. Sasfin Corporate Finance is accredited as a sponsor with the JSE and offers its clients independent advice on a full range of corporate finance transactions, with a focus on developing long-term, trusted advisor relationships.</t>
  </si>
  <si>
    <t>SeedInvest</t>
  </si>
  <si>
    <t>SeedInvest was an equity crowdfunding platform based in New York, New York. The firm enabled individual investors to invest alongside venture capital firms and angel groups in startup investments. The company was incorporated in 2012. The company ceased to exist in May 2023.</t>
  </si>
  <si>
    <t>Serry Law Office</t>
  </si>
  <si>
    <t>Established in 1938, Serry Law Office is a law firm based in Cairo, Egypt. The firm specializes in commercial, corporate, investment and banking matters, mergers, acquisitions, business reconstruction, major contracts and investment agreements, labor matters, trade and franchising, competition law, litigation, and arbitration. Serry Law Office caters to banking and finance, construction, media, and technology industries.</t>
  </si>
  <si>
    <t>Shalakany Law Office</t>
  </si>
  <si>
    <t>Founded in 1912, Shalakany Law Office is a law firm based in Cairo, Egypt. The firm offers legal services in the areas of mergers, acquisitions, project development, finance, arbitration, shareholder disputes, litigation, intellectual property, construction, anti-trust, competition, labor and employment, real estate, aviation, manufacturing, taxation, corporate commercial agency, distribution, privatization, public international law, and initial public offerings.</t>
  </si>
  <si>
    <t>Shooklin and Bok</t>
  </si>
  <si>
    <t>Founded in 1918, Shooklin and Bok is a law firm headquartered in Singapore. The firm provides services in mergers, acquisitions, joint ventures, private equity, venture capital, acquisition finance, asset and asset-backed finance, trade finance, debt restructuring, derivatives, structured finance, property finance, syndicated loans, debt, and equity capital markets, rights issues, secondary offerings, and initial public offerings. Shooklin and Bok cater to infrastructure, construction, telecommunication, media, technology, energy, agriculture, biotechnology, manufacturing, real estate, and retail sectors.</t>
  </si>
  <si>
    <t>Singapore, Singapore</t>
  </si>
  <si>
    <t>Singapore</t>
  </si>
  <si>
    <t>Siebert Williams Shank &amp; Company</t>
  </si>
  <si>
    <t>Founded in 1996, Siebert Williams Shank &amp; Co. is a full-service investment banking and financial services firm headquartered in New York City, New York. The firm provides municipal and corporate investment banking, fixed-income and equity sales and trading, corporate share repurchases, mergers and acquisitions, senior and subordinated unsecured debt, medium-term notes, asset-backed securities, and other advisory services. Siebert Williams Shank &amp; Co. mainly works with a broad range of clients, including corporations, governments, municipalities, and institutional investors. The firm mainly provides advice across several major industries, including consumer and retail, energy and utilities, financial institutions, technology and media, healthcare, and diversified industries, among others.</t>
  </si>
  <si>
    <t>Singhi Advisors</t>
  </si>
  <si>
    <t>Established in 1989, Singhi Advisors is a global investment banking firm headquartered in Mumbai, India. The firm services mergers, acquisitions, joint ventures, private equity, divestment, management buyouts, and corporate advisory. Singhi Advisors caters to the industries of power equipment, engineering, infrastructures, energy, textile, apparel, information technology, logistics, chemicals, media, and entertainment.</t>
  </si>
  <si>
    <t>Skandinaviska Enskilda Banken (STO: SEB A)</t>
  </si>
  <si>
    <t>Founded in 1856, Skandinaviska Enskilda Banken is a commercial banking firm headquartered in Stockholm, Sweden. The firm offers financial advice and a wide range of financial services to different customer segments. The firm offers corporate finance services such as acquisition finance, asset finance, corporate finance, debt capital markets, export finance, loan origination, loan syndication and loan agency, project finance, real estate finance, and shipping finance. The firm's activities comprise mainly banking services, but it also carries out life insurance operations and also owns Eurocard. The firm also offers advisory services and assists customers with financing, investments, secure payments, asset management, economic development, and international trade.</t>
  </si>
  <si>
    <t>Slaughter and May</t>
  </si>
  <si>
    <t>Founded in 1889, Slaughter and May is a law firm headquartered in London, United Kingdom. The firm provides services in private equity, mergers, acquisitions, privatizations, joint ventures, capital markets, debt and equity, demergers, reorganizations, corporate governance, capital raising, loan finance, and arbitration. Slaughter and May caters to aerospace, automobiles, parts, consumer goods, financial institutions, media, mining, minerals, oil, gas, pharmaceuticals, biotechnology, healthcare, real estate, technology, telecommunications, transport, and logistics sectors.</t>
  </si>
  <si>
    <t>Smyle Finance</t>
  </si>
  <si>
    <t>Social Investor Foundation for Africa</t>
  </si>
  <si>
    <t>Solebury Capital</t>
  </si>
  <si>
    <t>Founded in 2005, Solebury Capital Group is a financing advisory firm based in New Hope, Pennsylvania. The firm advises corporates, financial sponsors, and venture capital clients. Solebury's corporate services include initial public offering, direct listing, market follow-on, special purpose acquisition companies, and block trading advisory.</t>
  </si>
  <si>
    <t>New Hope, PA</t>
  </si>
  <si>
    <t>Sorainen</t>
  </si>
  <si>
    <t>Established in 1995, Sorainen is a law firm based in Tallinn, Estonia. The firm provides services in the areas of mergers and acquisitions, private equity, corporate, banking, capital markets, intellectual property, privatization, restructuring, insolvency, government relations and administrative law, and dispute resolution. The firm also caters to industries including communications, media and technology, energy and utilities, financial services and insurance, food, agriculture and forestry, pharmaceuticals and life sciences, real estate, and construction.</t>
  </si>
  <si>
    <t>Tallinn, Estonia</t>
  </si>
  <si>
    <t>Estonia</t>
  </si>
  <si>
    <t>Sory @ Law</t>
  </si>
  <si>
    <t>Founded in 2013, Sory@Law is a law firm based in Accra, Ghana. The firm offers legal services in the areas of labor, industrial relations, banking, finance, corporate finance, securities, administration of the estate, probate, mergers, acquisition, telecommunications law, intellectual property, construction law, immigration, arbitration, mediation, and negotiations.</t>
  </si>
  <si>
    <t>Spreds</t>
  </si>
  <si>
    <t>Spreds is an FSMA-authorized investment crowdfunding platform focusing on European startups and growing businesses. Based in Brussels, Belgium, and founded in 2011, the firm enables entrepreneurs to co-invest with professional investors in startups and scale-ups across Europe.</t>
  </si>
  <si>
    <t>Stanbic IBTC Asset Management</t>
  </si>
  <si>
    <t>Logos, Nigeria</t>
  </si>
  <si>
    <t>Stanbic IBTC Capital</t>
  </si>
  <si>
    <t>Founded in 2012, Stanbic IBTC Capital Limited (Stanbic IBTC Capital) is an investment banking franchise in Nigeria offering a complete suite of innovative advisory, capital markets, and debt arranging solutions to domestic corporates, multinationals, and government entities operating in and outside Nigeria. The firm has a dedicated team of investment banking specialists that leverage deep industry insights across various industry sectors to deliver innovative solutions that drive business and economic growth in Nigeria. The firm is registered with the Securities &amp; Exchange Commission as an Issuing House and Underwriter, and the FMDQ Securities Exchange Limited as a Registration Member Listings and Quotations. The firm is a wholly-owned subsidiary of Stanbic IBTC Holdings PLC (Stanbic IBTC), an end-to-end financial services company listed on The Nigerian Exchange, and a member of Standard Bank Group.</t>
  </si>
  <si>
    <t>Victoria Island, Nigeria</t>
  </si>
  <si>
    <t>Standard Bank of South Africa</t>
  </si>
  <si>
    <t>Established in 1861, Standard Bank of South Africa is a commercial bank headquartered in Johannesburg, South Africa. The bank provides personal and business banking services which include loans, overdrafts, savings and investments, insurance, mobile banking, and business mortgage services. The firm also provides self-service banking, insurance, wealth and investment services, and financial planning services.</t>
  </si>
  <si>
    <t>Standard Chartered (LON: STAN)</t>
  </si>
  <si>
    <t>Founded in 1853, Standard Chartered is a leading international cross-border bank serving companies and consumers through its global network The firm's activities include corporate relationship banking, leveraged finance and high yield, infrastructure and project finance, corporate real estate advisory and financing, cross-border mergers and acquisitions and structured export finance.</t>
  </si>
  <si>
    <t>Stanivuk &amp; Manasijevski</t>
  </si>
  <si>
    <t>Founded in 2013, Stanivuk &amp; Manasijevski is a law firm based in Belgrade, Serbia. The firm's practice areas include economy, mergers, and acquisitions, real estate, bankruptcy and restructuring, intellectual property, media law, tax, dispute resolution, labor law, banking and finance, pharmaceutical, and healthcare.</t>
  </si>
  <si>
    <t>Belgrade, Serbia</t>
  </si>
  <si>
    <t>Serbia</t>
  </si>
  <si>
    <t>StartSomeGood</t>
  </si>
  <si>
    <t>Startup Network (Fundraising)</t>
  </si>
  <si>
    <t>Founded in 2015, Startup Network is a crowdfunding platform based in Delaware. The firm offers a professional network for participants in the venture market, bringing together startups, private investors, and professional consultants. The offerings of Startup Network vary from pre-seed, seed, and venture capital, to business loans and business sales.</t>
  </si>
  <si>
    <t>Wilmington, DE</t>
  </si>
  <si>
    <t>Stek Advocaten</t>
  </si>
  <si>
    <t>Founded in 2005, Stek Advocaten is a law firm headquartered in Amsterdam, Netherlands. The firm provides services in competition law, regulatory matters, dispute resolution, financing, mergers and acquisitions, joint ventures, initial public offerings, private equity, venture capital transactions, restructuring, bankruptcy, and management buyouts. Stek caters to industries including healthcare, technology, aviation, transportation, education, consumer products and services, real estate, energy and utilities, food and beverages, and infrastructure.</t>
  </si>
  <si>
    <t>Step (Consulting Services)</t>
  </si>
  <si>
    <t>Step Advisory is a boutique management consulting firm focused on fuelling business growth. The firm provides competitor and driver analysis, market segmentation, corporate dashboarding, strategy formulation and activation, organic and acquisitive growth, talent sourcing, and flexible resourcing services. Founded in 2008, Step Advisory is based in Johannesburg, South Africa.</t>
  </si>
  <si>
    <t>Stifel Financial (NYS: SF)</t>
  </si>
  <si>
    <t>Founded in 1890, Stifel Financial is a full-service wealth management and investment banking firm headquartered in Saint Louis, Missouri. Through its wholly-owned subsidiaries, the firm provides securities brokerage, trading, investment advisory, and related financial services to individual investors, professional money managers, businesses, and municipalities. Stifel Financial caters to healthcare, education, financial services, defense, and commercial products, among other industries.</t>
  </si>
  <si>
    <t>Saint Louis, MO</t>
  </si>
  <si>
    <t>StratLink</t>
  </si>
  <si>
    <t>Established in 2007, StratLink is a dynamic financial advisory firm with a deep focus on emerging markets. With strategically located offices in Nairobi (Kenya), Dubai (United Arab Emirates), and Karachi (Pakistan), StratLink is at the forefront of facilitating financial and strategic growth across the pivotal regions of Sub-Saharan Africa (SSA) and the Gulf Cooperation Council (GCC). The firm is renowned for its comprehensive suite of services, which includes expert guidance in mergers and acquisitions, joint ventures, equity and debt financing, and divestiture processes, catering primarily to companies operating within these vibrant markets.
Beyond its core financial advisory services, StratLink delivers a broad spectrum of strategic solutions designed to accelerate business growth and enhance market positioning. These services encompass growth and market entry strategy formulation, strategic and operational planning, meticulous due diligence, the establishment of strategic alliances, and the creation of detailed budget forecasts. Additionally, StratLink's expertise extends to market research and business intelligence, providing clients with insightful analysis and actionable intelligence crucial for making informed business decisions and navigating the complexities of emerging markets.</t>
  </si>
  <si>
    <t>SVB Financial Group</t>
  </si>
  <si>
    <t>Founded in 1983, Silicon Valley Bank is a commercial bank headquartered in Santa Clara, California. The bank offers online banking services, deposits, payments, and fraud prevention services. In addition, the bank also offers investments and asset management services, credit solutions and commercial card programs, and strategic advisory services, such as deal sourcing, benchmarking strategic valuations, and transaction support.</t>
  </si>
  <si>
    <t>Dallas, TX</t>
  </si>
  <si>
    <t>Synergy Consulting Infrastructure &amp; Financial Advisory Services</t>
  </si>
  <si>
    <t>Founded in 2002, Synergy Consulting Infrastructure &amp; Financial Advisory Services is a financial advisory firm headquartered in Reston, Virginia. The firm provides services in the areas of energy, information technology, energy, utilities, agriculture, software, and other business products and services.</t>
  </si>
  <si>
    <t>Reston, VA</t>
  </si>
  <si>
    <t>Tahoun Law Firm</t>
  </si>
  <si>
    <t>Established in 1990, Tahoun &amp; Associates is a law firm headquartered in Cairo, Egypt. The firm acts on companies and procedural matters, contracts, arbitration, litigation, due diligence, labor law, insolvency, restructuring, and legal translation. Tahoun provides legal opinions on a wide range of company matters, including international trade contracts and disputes, constructions, IT, IP, and documents for establishing company branches, subsidiaries, or international corporate structures. The firm also offers legal advice for tax, social insurance, and other procedural matters. Tahoun caters to industries including aviation, financial services, construction, infrastructure, healthcare, manufacturing, real estate, technology, media, telecommunications, hospitality, and tourism.</t>
  </si>
  <si>
    <t>Tamela</t>
  </si>
  <si>
    <t>Founded in 2008, Tamela is a financing advisory firm headquartered in Sandton, South Africa. The firm provides corporate finance advisory to merger and acquisition transactions, capital raising whether debt or equity, black economic empowerment, debt capital markets, balance sheet restructuring, mezzanine, and equity transactions, and sponsor services. Tamela has experience in a number of industries, especially the industrial, manufacturing, and financial services sectors, healthcare, and logistics.</t>
  </si>
  <si>
    <t>Taylor Wessing</t>
  </si>
  <si>
    <t>Founded in 2002, Taylor Wessing is a full-service international law firm headquartered in London, United Kingdom. The firm offers counsel in the areas of corporate crime, mergers, acquisitions, dispute resolutions, employment, pensions, and private equity. Taylor Wessing caters to industries including automotive, consumer, retail, energy, financial institutions, healthcare, technology, media, communication, hotels, leisure, life sciences, and real estate.</t>
  </si>
  <si>
    <t>Templars</t>
  </si>
  <si>
    <t>Established in 1995, Templars is a law firm headquartered in Lagos, Nigeria. The firm provides legal services in mergers and acquisitions, project finance, corporate and commercial law, taxation, dispute resolution, intellectual property, and competition law. Templars caters to banking and finance, energy, natural resources, media, entertainment, technology, telecommunications, maritime, and aviation sectors.</t>
  </si>
  <si>
    <t>Teneo Holdings</t>
  </si>
  <si>
    <t>Founded in 2011, Teneo Holdings is an independent financing advisory firm headquartered in New York City, New York. The firm specializes in financing advisory and management consulting while offering services in the areas of business transformation, restructuring, insolvency, bankruptcy, litigation, mergers, acquisitions, debt, valuation, corporate, marketing, and analytics strategy, people advisory, risk advisory, ESG, strategy, and communications. Teneo Holdings caters to clients in the life sciences, cybersecurity, industrials, infrastructure, artificial intelligence, machine learning, e-commerce, fintech, and manufacturing sector industries among others.</t>
  </si>
  <si>
    <t>TerraProtein Equity Partners</t>
  </si>
  <si>
    <t>TerraProtein Equity Partners is a financial advisory firm headquartered in Leiden, Netherlands. The firm provides advisory services for agriculture and agri-technology investment projects within venture capital, private equity, and debt capital markets. TerraProtein Equity Partners caters to sectors like food, agriculture, and agri-technology.</t>
  </si>
  <si>
    <t>Leiden, Netherlands</t>
  </si>
  <si>
    <t>The ERM International Group</t>
  </si>
  <si>
    <t>The New Practice</t>
  </si>
  <si>
    <t>Established in 2007, The New Practice is a law firm based in Lagos, Nigeria. The firm practices in the matters of private equity, mergers, acquisitions, capital raising, private equity fund, compliance, public offerings, private placements, restructuring, set-up, dispute resolution, equity, debt, and tax advisory. TNP caters to fast-moving consumer goods, oil, gas, banking, energy, natural resources, finance, financial technology, technology, e-commerce, media, telecom, infrastructure, construction, and real estate.</t>
  </si>
  <si>
    <t>The Unreasonable Marketplace</t>
  </si>
  <si>
    <t>Boulder, CO</t>
  </si>
  <si>
    <t>The Williams Capital Group</t>
  </si>
  <si>
    <t>Founded in 1994, The Williams Capital Group was a full-service investment banking firm serving institutional investors, corporations and governments. The firm offered equity research, share repurchase, fixed income and equity underwriting, business valuations, due diligence assistance, financial modeling and investment advisory to its clients. The Williams Capital Group is headquartered in New York City, New York. The firm caters to sectors like energy, financial services, healthcare, and consumer products among others. On, 4th Nov The Williams Capital Group got merged with Siebert Cisneros Shank &amp; Co.</t>
  </si>
  <si>
    <t>Themis Law Chambers</t>
  </si>
  <si>
    <t>Founded in 2005, Themis Law Chambers is a Law Firm headquartered in Cape Town, South Africa. The firm provides services in the areas of corporate and commercial law, mergers and acquisitions, arbitration and mediation, company secretarial, property law, labor law, and notarial services. The firm caters to individuals, the real estate sector among other sectors.</t>
  </si>
  <si>
    <t>Thinkroom Consulting</t>
  </si>
  <si>
    <t>Established in 2014, Thinkroom Consulting is a management consultancy firm, headquartered in Olifantsfontein, South Africa.The firm partners with small and big businesses across Africa. Services provided by the firm include running entrepreneurship programs, development supply chains, program design, program implementation, sourcing entrepreneurs, primary or secondary research, digital marketing, and partner linkages. Thinkroom Consulting caters to financial services and information technology sectors.</t>
  </si>
  <si>
    <t>Olifantsfontein, South Africa</t>
  </si>
  <si>
    <t>Third Way Investment Partners</t>
  </si>
  <si>
    <t>Timonel Consulting</t>
  </si>
  <si>
    <t>Palma de Mallorca, Spain</t>
  </si>
  <si>
    <t>Transpecos Banks</t>
  </si>
  <si>
    <t>Founded in 1928, Transpecos Banks is a commercial banking firm based in San Antonio, Texas The firm offers services such as deposits, credit and debit cards, money market instruments, online banking, pubic financing, paycheck protection program, loans, and mortgage services.</t>
  </si>
  <si>
    <t>TruCrowd</t>
  </si>
  <si>
    <t>Founded in 2013, TruCrowd was a crowdfunding platform headquartered in Schaumburg, Illinois. On 2nd January 2025, the firm ceased operations.</t>
  </si>
  <si>
    <t>Schaumburg, IL</t>
  </si>
  <si>
    <t>Tugendhaft Wapnick Banchetti &amp; Partners</t>
  </si>
  <si>
    <t>Established in 2004, Tugendhaft Wapnick Banchetti &amp; Partners is a law firm headquartered in Sandton, South Africa. The firm provides corporate, mergers and acquisitions, asset financing, debt, private equity, and insolvency law services. Tugendhaft Wapnick Banchetti &amp; Partners caters to wholesale, logistics, automotive, real estate, healthcare, pharmaceuticals, insurance, medical records, and infrastructure industries.</t>
  </si>
  <si>
    <t>Tunisian American Enterprise Fund</t>
  </si>
  <si>
    <t>Founded in 2012, Tunisian American Enterprise Fund is a private equity firm based in Tunis, Tunisia.</t>
  </si>
  <si>
    <t>Ture Invest</t>
  </si>
  <si>
    <t>Founded in 2007, Ture Invest is a lender headquartered in Stockholm, Sweden. The firm provides services for performing, non-cyclical senior secured lending.</t>
  </si>
  <si>
    <t>U-Start</t>
  </si>
  <si>
    <t>Founded in 2012, U-Start was a professional advisory firm headquartered in Milan, Italy. The firm specialized in focus areas such as lifestyle, tech, and digital companies. U-Start catered to family offices and funds on venture deals and works alongside corporates on startup scouting and innovation projects.</t>
  </si>
  <si>
    <t>Udo Udoma &amp; Belo-Osagie</t>
  </si>
  <si>
    <t>Founded in 1983, UUBO is a full-service corporate and commercial law firm headquartered in Lagos, Nigeria. The firm provides legal advice in aviation, intellectual property, banking and finance, mergers and acquisitions, restructuring, capital markets, dispute resolution, real estate, tax, employment, fintech, telecommunications, media and technology, and so on.</t>
  </si>
  <si>
    <t>Ulule</t>
  </si>
  <si>
    <t>Founded in 2010, Ulule is a crowdfunding platform headquartered in Paris, France. The firm provides services for crowdfunding, fundraising, culture, innovation, crowdsourcing, social business, collaborative economy, empowerment, funding, new products, crowdfunding, arts, brands, social networks, local, global, and impact.</t>
  </si>
  <si>
    <t>UMB Investments Holdings</t>
  </si>
  <si>
    <t>Vunani Corporate Finance</t>
  </si>
  <si>
    <t>Wachtell, Lipton, Rosen &amp; Katz</t>
  </si>
  <si>
    <t>Founded in 1965, Wachtell, Lipton, Rosen &amp; Katz is a law firm headquartered in New York City, New York. The firm practices in matters of corporate, litigation, restructuring, finance, tax, executive compensation and benefits, antitrust, strategic investments, and real estate mergers and acquisitions. WLRK caters to clients in the finance, insurance, media, high-technology, energy, industrial, consumer, retail, and real estate sectors, among others.</t>
  </si>
  <si>
    <t>Wedlake Bell</t>
  </si>
  <si>
    <t>Founded in 1780, Wedlake Bell is a law firm headquartered in London, United Kingdom. The firm offers legal services in focus areas such as construction, finance, real estate, private client, planning and environmental, banking, pensions and employee benefits, insolvency and restructuring, employment, projects, and infrastructure, business services, and dispute resolution.</t>
  </si>
  <si>
    <t>Wefunder</t>
  </si>
  <si>
    <t>Founded in 2011, Wefunder is a San Francisco, California-based crowd-investing platform. The firm connects startups with investors online enabling unaccredited investors to purchase equity in early-stage private companies. Wefunder caters to an array of industries including technology, food, beverages, hardware, software, entertainment, retail, energy, financial services, consumer services, business services, and infrastructure among others.</t>
  </si>
  <si>
    <t>Wells Fargo Securities</t>
  </si>
  <si>
    <t>Founded in 1984, Wells Fargo Securities is an investment banking firm headquartered in San Francisco, California. Wells Fargo Securities is the trade name for the corporate banking, capital markets, and investment banking services of Wells Fargo &amp; Company and its subsidiaries. The firm assists corporate, government, and institutional clients to meet their capital, financial, banking, and investment needs. The firm provides services in corporate banking, asset-based financing, capital markets, mergers and acquisitions, market risk management, and foreign exchange among other areas.</t>
  </si>
  <si>
    <t>Werksmans Attorneys</t>
  </si>
  <si>
    <t>Founded in 1917, Werksmans Attorneys is a law firm based in Sandton, South Africa. The firm provides legal services to clients on matters concerning banking and finance, arbitration, business crimes and investigations, mergers and acquisitions, data privacy, cybercrime, investment funds, private equity, and intellectual property. Werksmans advises clients across domains such as agriculture, forestry, fishing, construction, infrastructure, consumer goods, and energy.</t>
  </si>
  <si>
    <t>Weshahi &amp; Partners</t>
  </si>
  <si>
    <t>Wholesale Investor</t>
  </si>
  <si>
    <t>Wholesale Investor is a private investment platform directly connecting high net-worth and professional investors with private, and small-cap listed investment opportunities that are often not available on the open market. WI offers companies direct exposure to active investors and deal makers. Wholesale Investor was founded in 2008 and is based in Sydney, Australia.</t>
  </si>
  <si>
    <t>Woolloomooloo, Australia</t>
  </si>
  <si>
    <t>Wildeboer Dellelce</t>
  </si>
  <si>
    <t>Established in 1993, Wildeboer Dellelce is a law firm based in Toronto, Ontario. The firm offers advisory services in the areas of corporate finance, mergers, acquisitions, tax, debt products, structured finance, corporate governance, and commercial real estate. Wildeboer caters to clients in the areas of blockchain, cryptocurrency, fin-tech, cannabis, esports, financial services, industrial and consumer goods, life sciences, mining, natural resources, and real estate technology.</t>
  </si>
  <si>
    <t>Wildgen</t>
  </si>
  <si>
    <t>Founded in 1923, Wildgen has remained an independent law firm, able to offer innovative and pragmatic services tailored to the requirements of each client. Excellence, client care and common sense guide the approach of the firm and its lawyers. Wildgen acts as a one-stop-shop, offering assistance in all areas of business law including banking and finance, corporate and M&amp;A, data protection, dispute resolution and litigation, employment, energy, insurance and reinsurance, investment funds, intellectual property, technology, media &amp; telecommunication, private equity &amp; venture capital, real estate, sustainable finance, transport and tax. Wildgen's legal experts advise domestic and international companies, from small and medium-sized companies to multinational businesses, as well as law firms seeking advice on Luxembourg law for their clients.</t>
  </si>
  <si>
    <t>Willkie Farr &amp; Gallagher</t>
  </si>
  <si>
    <t>Founded in 1888, Willkie Farr &amp; Gallagher is an international law firm headquartered in New York City, New York. The firm's primary practice areas include mergers, acquisitions, private equity, business reorganization, restructuring, complex litigation, compliance, enforcement, antitrust, competition, asset management, insurance, and reinsurance. Willkie also provides integrated, multidisciplinary advice encompassing the areas of capital markets. communications and media, cybersecurity and privacy, environment, health and safety, executive compensation and employee benefits, finance, government relations, intellectual property, real estate, special committee, structured finance, tax, and various industries.</t>
  </si>
  <si>
    <t>WilmerHale</t>
  </si>
  <si>
    <t>Founded in 2004, WilmerHale is an independent law firm headquartered in Washington, District of Columbia. The firm offers services in administrative law, capital markets, corporate governance, emerging companies, international trade, investment, market access, litigation, labor, employment, white-collar defense, and investigations. The firm additionally offers transaction advisory services on mergers, acquisitions, debt finance, private placements, spin-offs, carve-outs, cross-border offerings, initial public offerings, follow-on public offerings, private investment in public equity placements, venture, and strategic financing.</t>
  </si>
  <si>
    <t>Worldwide Securities</t>
  </si>
  <si>
    <t>Founded in 2000, Worldwide Securities was an investment banking firm headquartered in Accra, Ghana. The firm provided services for corporate restructuring and privatization, divestiture design and implementation.</t>
  </si>
  <si>
    <t>XSML</t>
  </si>
  <si>
    <t>XSML is an investment fund manager focused on operating in frontier markets in Central and East Africa.The company offers a combination of debt &amp; equity, typically invested as growth capital. The firm seeks to serve companies related to business, education, healthcare, service, communication and technology sectors. Founded in 2008, XSML is based in Amsterdam, Netherlands and has USD 65 million under management.</t>
  </si>
  <si>
    <t>Young America Capital</t>
  </si>
  <si>
    <t>Founded in 2000, Young America Capital is an investment bank based in Mamaroneck, New York. The firm provides expertise in investment banking, asset management, public and private placement of equity and debt, fairness opinions, as well as cross-border and multinational transactions. The firm offers assistance in the areas of sales, acquisitions, divestitures, and management buyouts. YAC seeks to provide services in the consumer and retail, life sciences and healthcare, maritime, infrastructure, and logistics sectors.</t>
  </si>
  <si>
    <t>Mamaroneck, 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</si>
</sst>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Red]\(#,##0\)"/>
  </numFmts>
  <fonts count="11" x14ac:knownFonts="1">
    <font>
      <sz val="11"/>
      <color theme="1"/>
      <name val="Calibri"/>
      <family val="2"/>
      <scheme val="minor"/>
    </font>
    <font>
      <b/>
      <sz val="8"/>
      <color rgb="FFFFFFFF"/>
      <name val="Open Sans"/>
      <family val="2"/>
    </font>
    <font>
      <sz val="8"/>
      <color rgb="FF000000"/>
      <name val="Open Sans"/>
      <family val="2"/>
    </font>
    <font>
      <sz val="8"/>
      <color rgb="FF26649E"/>
      <name val="Open Sans"/>
      <family val="2"/>
    </font>
    <font>
      <b/>
      <sz val="8"/>
      <color rgb="FF000000"/>
      <name val="Open Sans"/>
      <family val="2"/>
    </font>
    <font>
      <b/>
      <sz val="16"/>
      <color rgb="FF000000"/>
      <name val="Open Sans"/>
      <family val="2"/>
    </font>
    <font>
      <b/>
      <sz val="8"/>
      <color rgb="FF26649E"/>
      <name val="Open Sans"/>
      <family val="2"/>
    </font>
    <font>
      <b/>
      <sz val="14"/>
      <color rgb="FF000000"/>
      <name val="Open Sans"/>
      <family val="2"/>
    </font>
    <font>
      <i/>
      <sz val="10"/>
      <color rgb="FF000000"/>
      <name val="Open Sans"/>
      <family val="2"/>
    </font>
    <font>
      <i/>
      <sz val="10"/>
      <color rgb="FF26649E"/>
      <name val="Open Sans"/>
      <family val="2"/>
    </font>
    <font>
      <sz val="8"/>
      <color rgb="FF000000"/>
      <name val="Open Sans"/>
      <family val="2"/>
    </font>
  </fonts>
  <fills count="5">
    <fill>
      <patternFill patternType="none"/>
    </fill>
    <fill>
      <patternFill patternType="gray125"/>
    </fill>
    <fill>
      <patternFill patternType="solid">
        <fgColor rgb="FF051C38"/>
        <bgColor rgb="FF051C38"/>
      </patternFill>
    </fill>
    <fill>
      <patternFill patternType="solid">
        <fgColor rgb="FFF8F5EF"/>
        <bgColor rgb="FFF8F5EF"/>
      </patternFill>
    </fill>
    <fill>
      <patternFill patternType="solid">
        <fgColor rgb="FFFFFFFF"/>
      </patternFill>
    </fill>
  </fills>
  <borders count="2">
    <border>
      <left/>
      <right/>
      <top/>
      <bottom/>
      <diagonal/>
    </border>
    <border>
      <left/>
      <right style="thin">
        <color rgb="FFD3D3D3"/>
      </right>
      <top/>
      <bottom/>
      <diagonal/>
    </border>
  </borders>
  <cellStyleXfs count="18">
    <xf numFmtId="0" fontId="0" fillId="0" borderId="0"/>
    <xf numFmtId="0" fontId="1" fillId="0" borderId="0">
      <alignment horizontal="center" vertical="center" wrapText="1"/>
    </xf>
    <xf numFmtId="0" fontId="2" fillId="0" borderId="1">
      <alignment horizontal="left" vertical="center" indent="1"/>
    </xf>
    <xf numFmtId="0" fontId="2" fillId="0" borderId="1">
      <alignment horizontal="right" vertical="center" indent="1"/>
    </xf>
    <xf numFmtId="0" fontId="2" fillId="0" borderId="1">
      <alignment horizontal="center" vertical="center"/>
    </xf>
    <xf numFmtId="0" fontId="3" fillId="0" borderId="1">
      <alignment horizontal="left" vertical="center" indent="1"/>
    </xf>
    <xf numFmtId="0" fontId="3" fillId="0" borderId="1">
      <alignment horizontal="right" vertical="center" indent="1"/>
    </xf>
    <xf numFmtId="0" fontId="10" fillId="0" borderId="0">
      <alignment horizontal="left" vertical="center"/>
    </xf>
    <xf numFmtId="0" fontId="2" fillId="0" borderId="0">
      <alignment horizontal="right" vertical="top"/>
    </xf>
    <xf numFmtId="0" fontId="6" fillId="0" borderId="0">
      <alignment horizontal="left" vertical="top"/>
    </xf>
    <xf numFmtId="0" fontId="4" fillId="0" borderId="0">
      <alignment horizontal="left" vertical="top" wrapText="1"/>
    </xf>
    <xf numFmtId="0" fontId="5" fillId="0" borderId="0">
      <alignment horizontal="left" vertical="center"/>
    </xf>
    <xf numFmtId="0" fontId="2" fillId="0" borderId="0">
      <alignment horizontal="right" vertical="center"/>
    </xf>
    <xf numFmtId="0" fontId="4" fillId="0" borderId="0">
      <alignment horizontal="left" vertical="center"/>
    </xf>
    <xf numFmtId="0" fontId="7" fillId="0" borderId="0">
      <alignment horizontal="left" vertical="center"/>
    </xf>
    <xf numFmtId="0" fontId="8" fillId="4" borderId="0">
      <alignment horizontal="left" vertical="center"/>
    </xf>
    <xf numFmtId="0" fontId="9" fillId="4" borderId="0">
      <alignment horizontal="left" vertical="center"/>
    </xf>
    <xf numFmtId="0" fontId="8" fillId="4" borderId="0">
      <alignment horizontal="right" vertical="center"/>
    </xf>
  </cellStyleXfs>
  <cellXfs count="11">
    <xf numFmtId="0" fontId="0" fillId="0" borderId="0" xfId="0"/>
    <xf numFmtId="0" fontId="3" fillId="3" borderId="1" xfId="5" applyFill="1">
      <alignment horizontal="left" vertical="center" indent="1"/>
    </xf>
    <xf numFmtId="0" fontId="1" fillId="2" borderId="0" xfId="1" applyFill="1">
      <alignment horizontal="center" vertical="center" wrapText="1"/>
    </xf>
    <xf numFmtId="0" fontId="2" fillId="0" borderId="1" xfId="2">
      <alignment horizontal="left" vertical="center" indent="1"/>
    </xf>
    <xf numFmtId="166" fontId="2" fillId="0" borderId="1" xfId="3" applyNumberFormat="1">
      <alignment horizontal="right" vertical="center" indent="1"/>
    </xf>
    <xf numFmtId="0" fontId="2" fillId="3" borderId="1" xfId="2" applyFill="1">
      <alignment horizontal="left" vertical="center" indent="1"/>
    </xf>
    <xf numFmtId="0" fontId="3" fillId="0" borderId="1" xfId="5">
      <alignment horizontal="left" vertical="center" indent="1"/>
    </xf>
    <xf numFmtId="166" fontId="2" fillId="3" borderId="1" xfId="3" applyNumberFormat="1" applyFill="1">
      <alignment horizontal="right" vertical="center" indent="1"/>
    </xf>
    <xf numFmtId="0" fontId="6" fillId="0" borderId="0" xfId="9">
      <alignment horizontal="left" vertical="top"/>
    </xf>
    <xf numFmtId="0" fontId="4" fillId="0" borderId="0" xfId="10">
      <alignment horizontal="left" vertical="top" wrapText="1"/>
    </xf>
    <xf numFmtId="0" fontId="0" fillId="0" borderId="0" xfId="0"/>
  </cellXfs>
  <cellStyles count="18">
    <cellStyle name="bold" xfId="13" xr:uid="{00000000-0005-0000-0000-00000E000000}"/>
    <cellStyle name="defaultStyle" xfId="7" xr:uid="{00000000-0005-0000-0000-000008000000}"/>
    <cellStyle name="fontSize10Italic" xfId="15" xr:uid="{00000000-0005-0000-0000-000010000000}"/>
    <cellStyle name="fontSize10ItalicHyperlink" xfId="16" xr:uid="{00000000-0005-0000-0000-000011000000}"/>
    <cellStyle name="fontSize10ItalicRight" xfId="17" xr:uid="{00000000-0005-0000-0000-000012000000}"/>
    <cellStyle name="fontSize14Bold" xfId="14" xr:uid="{00000000-0005-0000-0000-00000F000000}"/>
    <cellStyle name="fontSize16Bold" xfId="11" xr:uid="{00000000-0005-0000-0000-00000C000000}"/>
    <cellStyle name="horizontalCenterWrapWhiteBold" xfId="1" xr:uid="{00000000-0005-0000-0000-000001000000}"/>
    <cellStyle name="horizontalRight" xfId="12" xr:uid="{00000000-0005-0000-0000-00000D000000}"/>
    <cellStyle name="Normal" xfId="0" builtinId="0"/>
    <cellStyle name="tableCellStyleCenter" xfId="4" xr:uid="{00000000-0005-0000-0000-000004000000}"/>
    <cellStyle name="tableCellStyleLeft" xfId="2" xr:uid="{00000000-0005-0000-0000-000002000000}"/>
    <cellStyle name="tableCellStyleLeftHyperlink" xfId="5" xr:uid="{00000000-0005-0000-0000-000006000000}"/>
    <cellStyle name="tableCellStyleRight" xfId="3" xr:uid="{00000000-0005-0000-0000-000003000000}"/>
    <cellStyle name="tableCellStyleRightHyperlink" xfId="6" xr:uid="{00000000-0005-0000-0000-000007000000}"/>
    <cellStyle name="verticalTopBoldWrapBold" xfId="10" xr:uid="{00000000-0005-0000-0000-00000B000000}"/>
    <cellStyle name="verticalTopHorizontalRight" xfId="8" xr:uid="{00000000-0005-0000-0000-000009000000}"/>
    <cellStyle name="verticalTopHyperlinkBold" xfId="9"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499"/>
  <sheetViews>
    <sheetView showGridLines="0" tabSelected="1" workbookViewId="0">
      <selection activeCell="B4" sqref="B4"/>
    </sheetView>
  </sheetViews>
  <sheetFormatPr baseColWidth="10" defaultColWidth="8.83203125" defaultRowHeight="15" x14ac:dyDescent="0.2"/>
  <cols>
    <col min="2" max="2" width="41.1640625" customWidth="1"/>
    <col min="3" max="3" width="39.6640625" customWidth="1"/>
    <col min="4" max="4" width="35" customWidth="1"/>
    <col min="5" max="5" width="22.5" customWidth="1"/>
    <col min="6" max="6" width="23.83203125" customWidth="1"/>
    <col min="7" max="7" width="27.5" customWidth="1"/>
    <col min="8" max="8" width="23.83203125" customWidth="1"/>
    <col min="9" max="10" width="27.5" customWidth="1"/>
  </cols>
  <sheetData>
    <row r="1" spans="2:10" x14ac:dyDescent="0.2">
      <c r="B1" s="8"/>
    </row>
    <row r="2" spans="2:10" x14ac:dyDescent="0.2">
      <c r="B2" s="9"/>
    </row>
    <row r="3" spans="2:10" x14ac:dyDescent="0.2">
      <c r="B3" s="10"/>
    </row>
    <row r="5" spans="2:10" ht="35" customHeight="1" x14ac:dyDescent="0.2">
      <c r="B5" s="2" t="s">
        <v>0</v>
      </c>
      <c r="C5" s="2" t="s">
        <v>1</v>
      </c>
      <c r="D5" s="2" t="s">
        <v>2</v>
      </c>
      <c r="E5" s="2" t="s">
        <v>3</v>
      </c>
      <c r="F5" s="2" t="s">
        <v>4</v>
      </c>
      <c r="G5" s="2" t="s">
        <v>5</v>
      </c>
      <c r="H5" s="2" t="s">
        <v>6</v>
      </c>
      <c r="I5" s="2" t="s">
        <v>7</v>
      </c>
      <c r="J5" s="2" t="s">
        <v>8</v>
      </c>
    </row>
    <row r="6" spans="2:10" x14ac:dyDescent="0.2">
      <c r="B6" s="5" t="s">
        <v>9</v>
      </c>
      <c r="C6" s="5" t="s">
        <v>11</v>
      </c>
      <c r="D6" s="5" t="s">
        <v>12</v>
      </c>
      <c r="E6" s="7">
        <v>210820</v>
      </c>
      <c r="F6" s="5" t="s">
        <v>13</v>
      </c>
      <c r="G6" s="5" t="s">
        <v>14</v>
      </c>
      <c r="H6" s="5" t="s">
        <v>15</v>
      </c>
      <c r="I6" s="5" t="s">
        <v>16</v>
      </c>
      <c r="J6" s="1" t="str">
        <f>HYPERLINK("http://www.jpmorganchase.com","www.jpmorganchase.com")</f>
        <v>www.jpmorganchase.com</v>
      </c>
    </row>
    <row r="7" spans="2:10" x14ac:dyDescent="0.2">
      <c r="B7" s="3" t="s">
        <v>17</v>
      </c>
      <c r="C7" s="3" t="s">
        <v>18</v>
      </c>
      <c r="D7" s="3" t="s">
        <v>12</v>
      </c>
      <c r="E7" s="4">
        <v>93371</v>
      </c>
      <c r="F7" s="3" t="s">
        <v>13</v>
      </c>
      <c r="G7" s="3" t="s">
        <v>14</v>
      </c>
      <c r="H7" s="3" t="s">
        <v>15</v>
      </c>
      <c r="I7" s="3" t="s">
        <v>16</v>
      </c>
      <c r="J7" s="6" t="str">
        <f>HYPERLINK("http://www.morganstanley.com","www.morganstanley.com")</f>
        <v>www.morganstanley.com</v>
      </c>
    </row>
    <row r="8" spans="2:10" x14ac:dyDescent="0.2">
      <c r="B8" s="5" t="s">
        <v>19</v>
      </c>
      <c r="C8" s="5" t="s">
        <v>20</v>
      </c>
      <c r="D8" s="5" t="s">
        <v>12</v>
      </c>
      <c r="E8" s="7">
        <v>63814</v>
      </c>
      <c r="F8" s="5" t="s">
        <v>13</v>
      </c>
      <c r="G8" s="5" t="s">
        <v>14</v>
      </c>
      <c r="H8" s="5" t="s">
        <v>15</v>
      </c>
      <c r="I8" s="5" t="s">
        <v>16</v>
      </c>
      <c r="J8" s="1" t="str">
        <f>HYPERLINK("http://www.goldmansachs.com","www.goldmansachs.com")</f>
        <v>www.goldmansachs.com</v>
      </c>
    </row>
    <row r="9" spans="2:10" x14ac:dyDescent="0.2">
      <c r="B9" s="3" t="s">
        <v>21</v>
      </c>
      <c r="C9" s="3" t="s">
        <v>22</v>
      </c>
      <c r="D9" s="3" t="s">
        <v>23</v>
      </c>
      <c r="E9" s="4">
        <v>13525</v>
      </c>
      <c r="F9" s="3" t="s">
        <v>24</v>
      </c>
      <c r="G9" s="3" t="s">
        <v>25</v>
      </c>
      <c r="H9" s="3" t="s">
        <v>26</v>
      </c>
      <c r="I9" s="3" t="s">
        <v>27</v>
      </c>
      <c r="J9" s="6" t="str">
        <f>HYPERLINK("http://www.dlapiper.com","www.dlapiper.com")</f>
        <v>www.dlapiper.com</v>
      </c>
    </row>
    <row r="10" spans="2:10" x14ac:dyDescent="0.2">
      <c r="B10" s="5" t="s">
        <v>28</v>
      </c>
      <c r="C10" s="5" t="s">
        <v>29</v>
      </c>
      <c r="D10" s="5" t="s">
        <v>30</v>
      </c>
      <c r="E10" s="7">
        <v>193021</v>
      </c>
      <c r="F10" s="5" t="s">
        <v>13</v>
      </c>
      <c r="G10" s="5" t="s">
        <v>14</v>
      </c>
      <c r="H10" s="5" t="s">
        <v>15</v>
      </c>
      <c r="I10" s="5" t="s">
        <v>16</v>
      </c>
      <c r="J10" s="1" t="str">
        <f>HYPERLINK("http://www.citigroup.com","www.citigroup.com")</f>
        <v>www.citigroup.com</v>
      </c>
    </row>
    <row r="11" spans="2:10" x14ac:dyDescent="0.2">
      <c r="B11" s="3" t="s">
        <v>31</v>
      </c>
      <c r="C11" s="3" t="s">
        <v>32</v>
      </c>
      <c r="D11" s="3" t="s">
        <v>33</v>
      </c>
      <c r="E11" s="4">
        <v>76651</v>
      </c>
      <c r="F11" s="3" t="s">
        <v>24</v>
      </c>
      <c r="G11" s="3" t="s">
        <v>25</v>
      </c>
      <c r="H11" s="3" t="s">
        <v>26</v>
      </c>
      <c r="I11" s="3" t="s">
        <v>27</v>
      </c>
      <c r="J11" s="6" t="str">
        <f>HYPERLINK("http://www.home.barclays","www.home.barclays")</f>
        <v>www.home.barclays</v>
      </c>
    </row>
    <row r="12" spans="2:10" x14ac:dyDescent="0.2">
      <c r="B12" s="5" t="s">
        <v>34</v>
      </c>
      <c r="C12" s="5" t="s">
        <v>35</v>
      </c>
      <c r="D12" s="5" t="s">
        <v>30</v>
      </c>
      <c r="E12" s="7">
        <v>10480</v>
      </c>
      <c r="F12" s="5" t="s">
        <v>37</v>
      </c>
      <c r="G12" s="5" t="s">
        <v>14</v>
      </c>
      <c r="H12" s="5" t="s">
        <v>15</v>
      </c>
      <c r="I12" s="5" t="s">
        <v>16</v>
      </c>
      <c r="J12" s="1" t="str">
        <f>HYPERLINK("http://www.ifc.org","www.ifc.org")</f>
        <v>www.ifc.org</v>
      </c>
    </row>
    <row r="13" spans="2:10" x14ac:dyDescent="0.2">
      <c r="B13" s="3" t="s">
        <v>38</v>
      </c>
      <c r="C13" s="3" t="s">
        <v>39</v>
      </c>
      <c r="D13" s="3" t="s">
        <v>12</v>
      </c>
      <c r="E13" s="4" t="s">
        <v>10</v>
      </c>
      <c r="F13" s="3" t="s">
        <v>40</v>
      </c>
      <c r="G13" s="3" t="s">
        <v>41</v>
      </c>
      <c r="H13" s="3" t="s">
        <v>26</v>
      </c>
      <c r="I13" s="3" t="s">
        <v>27</v>
      </c>
      <c r="J13" s="6" t="str">
        <f>HYPERLINK("http://www.credit-suisse.com","www.credit-suisse.com")</f>
        <v>www.credit-suisse.com</v>
      </c>
    </row>
    <row r="14" spans="2:10" x14ac:dyDescent="0.2">
      <c r="B14" s="5" t="s">
        <v>42</v>
      </c>
      <c r="C14" s="5" t="s">
        <v>43</v>
      </c>
      <c r="D14" s="5" t="s">
        <v>44</v>
      </c>
      <c r="E14" s="7">
        <v>291710</v>
      </c>
      <c r="F14" s="5" t="s">
        <v>24</v>
      </c>
      <c r="G14" s="5" t="s">
        <v>25</v>
      </c>
      <c r="H14" s="5" t="s">
        <v>26</v>
      </c>
      <c r="I14" s="5" t="s">
        <v>27</v>
      </c>
      <c r="J14" s="1" t="str">
        <f>HYPERLINK("http://www.pwc.com","www.pwc.com")</f>
        <v>www.pwc.com</v>
      </c>
    </row>
    <row r="15" spans="2:10" x14ac:dyDescent="0.2">
      <c r="B15" s="3" t="s">
        <v>45</v>
      </c>
      <c r="C15" s="3" t="s">
        <v>46</v>
      </c>
      <c r="D15" s="3" t="s">
        <v>23</v>
      </c>
      <c r="E15" s="4">
        <v>313</v>
      </c>
      <c r="F15" s="3" t="s">
        <v>47</v>
      </c>
      <c r="G15" s="3" t="s">
        <v>48</v>
      </c>
      <c r="H15" s="3" t="s">
        <v>49</v>
      </c>
      <c r="I15" s="3" t="s">
        <v>50</v>
      </c>
      <c r="J15" s="6" t="str">
        <f>HYPERLINK("http://www.matoukbassiouny.com","www.matoukbassiouny.com")</f>
        <v>www.matoukbassiouny.com</v>
      </c>
    </row>
    <row r="16" spans="2:10" x14ac:dyDescent="0.2">
      <c r="B16" s="5" t="s">
        <v>51</v>
      </c>
      <c r="C16" s="5" t="s">
        <v>52</v>
      </c>
      <c r="D16" s="5" t="s">
        <v>23</v>
      </c>
      <c r="E16" s="7" t="s">
        <v>10</v>
      </c>
      <c r="F16" s="5" t="s">
        <v>53</v>
      </c>
      <c r="G16" s="5" t="s">
        <v>25</v>
      </c>
      <c r="H16" s="5" t="s">
        <v>26</v>
      </c>
      <c r="I16" s="5" t="s">
        <v>27</v>
      </c>
      <c r="J16" s="1" t="str">
        <f>HYPERLINK("http://allenovery.com","allenovery.com")</f>
        <v>allenovery.com</v>
      </c>
    </row>
    <row r="17" spans="2:10" x14ac:dyDescent="0.2">
      <c r="B17" s="3" t="s">
        <v>54</v>
      </c>
      <c r="C17" s="3" t="s">
        <v>55</v>
      </c>
      <c r="D17" s="3" t="s">
        <v>23</v>
      </c>
      <c r="E17" s="4">
        <v>72</v>
      </c>
      <c r="F17" s="3" t="s">
        <v>56</v>
      </c>
      <c r="G17" s="3" t="s">
        <v>57</v>
      </c>
      <c r="H17" s="3" t="s">
        <v>49</v>
      </c>
      <c r="I17" s="3" t="s">
        <v>58</v>
      </c>
      <c r="J17" s="6" t="str">
        <f>HYPERLINK("http://www.asafoandco.com","www.asafoandco.com")</f>
        <v>www.asafoandco.com</v>
      </c>
    </row>
    <row r="18" spans="2:10" x14ac:dyDescent="0.2">
      <c r="B18" s="5" t="s">
        <v>59</v>
      </c>
      <c r="C18" s="5" t="s">
        <v>60</v>
      </c>
      <c r="D18" s="5" t="s">
        <v>44</v>
      </c>
      <c r="E18" s="7">
        <v>486939</v>
      </c>
      <c r="F18" s="5" t="s">
        <v>24</v>
      </c>
      <c r="G18" s="5" t="s">
        <v>25</v>
      </c>
      <c r="H18" s="5" t="s">
        <v>26</v>
      </c>
      <c r="I18" s="5" t="s">
        <v>27</v>
      </c>
      <c r="J18" s="1" t="str">
        <f>HYPERLINK("http://www.deloitte.com","www.deloitte.com")</f>
        <v>www.deloitte.com</v>
      </c>
    </row>
    <row r="19" spans="2:10" x14ac:dyDescent="0.2">
      <c r="B19" s="3" t="s">
        <v>61</v>
      </c>
      <c r="C19" s="3" t="s">
        <v>62</v>
      </c>
      <c r="D19" s="3" t="s">
        <v>33</v>
      </c>
      <c r="E19" s="4">
        <v>75291</v>
      </c>
      <c r="F19" s="3" t="s">
        <v>63</v>
      </c>
      <c r="G19" s="3" t="s">
        <v>64</v>
      </c>
      <c r="H19" s="3" t="s">
        <v>26</v>
      </c>
      <c r="I19" s="3" t="s">
        <v>27</v>
      </c>
      <c r="J19" s="6" t="str">
        <f>HYPERLINK("http://www.db.com","www.db.com")</f>
        <v>www.db.com</v>
      </c>
    </row>
    <row r="20" spans="2:10" x14ac:dyDescent="0.2">
      <c r="B20" s="5" t="s">
        <v>65</v>
      </c>
      <c r="C20" s="5" t="s">
        <v>66</v>
      </c>
      <c r="D20" s="5" t="s">
        <v>12</v>
      </c>
      <c r="E20" s="7">
        <v>117048</v>
      </c>
      <c r="F20" s="5" t="s">
        <v>40</v>
      </c>
      <c r="G20" s="5" t="s">
        <v>41</v>
      </c>
      <c r="H20" s="5" t="s">
        <v>26</v>
      </c>
      <c r="I20" s="5" t="s">
        <v>27</v>
      </c>
      <c r="J20" s="1" t="str">
        <f>HYPERLINK("http://www.ubs.com","www.ubs.com")</f>
        <v>www.ubs.com</v>
      </c>
    </row>
    <row r="21" spans="2:10" x14ac:dyDescent="0.2">
      <c r="B21" s="3" t="s">
        <v>67</v>
      </c>
      <c r="C21" s="3" t="s">
        <v>68</v>
      </c>
      <c r="D21" s="3" t="s">
        <v>23</v>
      </c>
      <c r="E21" s="4">
        <v>7612</v>
      </c>
      <c r="F21" s="3" t="s">
        <v>13</v>
      </c>
      <c r="G21" s="3" t="s">
        <v>14</v>
      </c>
      <c r="H21" s="3" t="s">
        <v>15</v>
      </c>
      <c r="I21" s="3" t="s">
        <v>16</v>
      </c>
      <c r="J21" s="6" t="str">
        <f>HYPERLINK("http://www.whitecase.com","www.whitecase.com")</f>
        <v>www.whitecase.com</v>
      </c>
    </row>
    <row r="22" spans="2:10" x14ac:dyDescent="0.2">
      <c r="B22" s="5" t="s">
        <v>69</v>
      </c>
      <c r="C22" s="5" t="s">
        <v>70</v>
      </c>
      <c r="D22" s="5" t="s">
        <v>44</v>
      </c>
      <c r="E22" s="7">
        <v>358037</v>
      </c>
      <c r="F22" s="5" t="s">
        <v>24</v>
      </c>
      <c r="G22" s="5" t="s">
        <v>25</v>
      </c>
      <c r="H22" s="5" t="s">
        <v>26</v>
      </c>
      <c r="I22" s="5" t="s">
        <v>27</v>
      </c>
      <c r="J22" s="1" t="str">
        <f>HYPERLINK("http://www.ey.com","www.ey.com")</f>
        <v>www.ey.com</v>
      </c>
    </row>
    <row r="23" spans="2:10" x14ac:dyDescent="0.2">
      <c r="B23" s="3" t="s">
        <v>71</v>
      </c>
      <c r="C23" s="3" t="s">
        <v>72</v>
      </c>
      <c r="D23" s="3" t="s">
        <v>33</v>
      </c>
      <c r="E23" s="4">
        <v>212722</v>
      </c>
      <c r="F23" s="3" t="s">
        <v>73</v>
      </c>
      <c r="G23" s="3" t="s">
        <v>14</v>
      </c>
      <c r="H23" s="3" t="s">
        <v>15</v>
      </c>
      <c r="I23" s="3" t="s">
        <v>16</v>
      </c>
      <c r="J23" s="6" t="str">
        <f>HYPERLINK("http://www.bankofamerica.com","www.bankofamerica.com")</f>
        <v>www.bankofamerica.com</v>
      </c>
    </row>
    <row r="24" spans="2:10" x14ac:dyDescent="0.2">
      <c r="B24" s="5" t="s">
        <v>74</v>
      </c>
      <c r="C24" s="5" t="s">
        <v>75</v>
      </c>
      <c r="D24" s="5" t="s">
        <v>23</v>
      </c>
      <c r="E24" s="7">
        <v>1891</v>
      </c>
      <c r="F24" s="5" t="s">
        <v>76</v>
      </c>
      <c r="G24" s="5" t="s">
        <v>77</v>
      </c>
      <c r="H24" s="5" t="s">
        <v>49</v>
      </c>
      <c r="I24" s="5" t="s">
        <v>78</v>
      </c>
      <c r="J24" s="1" t="str">
        <f>HYPERLINK("http://www.ensafrica.com","www.ensafrica.com")</f>
        <v>www.ensafrica.com</v>
      </c>
    </row>
    <row r="25" spans="2:10" x14ac:dyDescent="0.2">
      <c r="B25" s="3" t="s">
        <v>79</v>
      </c>
      <c r="C25" s="3" t="s">
        <v>80</v>
      </c>
      <c r="D25" s="3" t="s">
        <v>33</v>
      </c>
      <c r="E25" s="4">
        <v>185630</v>
      </c>
      <c r="F25" s="3" t="s">
        <v>24</v>
      </c>
      <c r="G25" s="3" t="s">
        <v>25</v>
      </c>
      <c r="H25" s="3" t="s">
        <v>26</v>
      </c>
      <c r="I25" s="3" t="s">
        <v>27</v>
      </c>
      <c r="J25" s="6" t="str">
        <f>HYPERLINK("http://www.hsbc.com","www.hsbc.com")</f>
        <v>www.hsbc.com</v>
      </c>
    </row>
    <row r="26" spans="2:10" x14ac:dyDescent="0.2">
      <c r="B26" s="5" t="s">
        <v>81</v>
      </c>
      <c r="C26" s="5" t="s">
        <v>82</v>
      </c>
      <c r="D26" s="5" t="s">
        <v>33</v>
      </c>
      <c r="E26" s="7">
        <v>21063</v>
      </c>
      <c r="F26" s="5" t="s">
        <v>83</v>
      </c>
      <c r="G26" s="5" t="s">
        <v>84</v>
      </c>
      <c r="H26" s="5" t="s">
        <v>49</v>
      </c>
      <c r="I26" s="5" t="s">
        <v>85</v>
      </c>
      <c r="J26" s="1" t="str">
        <f>HYPERLINK("http://www.nedbank.co.za","www.nedbank.co.za")</f>
        <v>www.nedbank.co.za</v>
      </c>
    </row>
    <row r="27" spans="2:10" x14ac:dyDescent="0.2">
      <c r="B27" s="3" t="s">
        <v>86</v>
      </c>
      <c r="C27" s="3" t="s">
        <v>87</v>
      </c>
      <c r="D27" s="3" t="s">
        <v>30</v>
      </c>
      <c r="E27" s="4">
        <v>980</v>
      </c>
      <c r="F27" s="3" t="s">
        <v>37</v>
      </c>
      <c r="G27" s="3" t="s">
        <v>14</v>
      </c>
      <c r="H27" s="3" t="s">
        <v>15</v>
      </c>
      <c r="I27" s="3" t="s">
        <v>16</v>
      </c>
      <c r="J27" s="6" t="str">
        <f>HYPERLINK("http://www.dfc.gov","www.dfc.gov")</f>
        <v>www.dfc.gov</v>
      </c>
    </row>
    <row r="28" spans="2:10" x14ac:dyDescent="0.2">
      <c r="B28" s="5" t="s">
        <v>88</v>
      </c>
      <c r="C28" s="5" t="s">
        <v>89</v>
      </c>
      <c r="D28" s="5" t="s">
        <v>23</v>
      </c>
      <c r="E28" s="7">
        <v>1055</v>
      </c>
      <c r="F28" s="5" t="s">
        <v>90</v>
      </c>
      <c r="G28" s="5" t="s">
        <v>84</v>
      </c>
      <c r="H28" s="5" t="s">
        <v>49</v>
      </c>
      <c r="I28" s="5" t="s">
        <v>85</v>
      </c>
      <c r="J28" s="1" t="str">
        <f>HYPERLINK("http://www.webberwentzel.com","www.webberwentzel.com")</f>
        <v>www.webberwentzel.com</v>
      </c>
    </row>
    <row r="29" spans="2:10" x14ac:dyDescent="0.2">
      <c r="B29" s="3" t="s">
        <v>91</v>
      </c>
      <c r="C29" s="3" t="s">
        <v>92</v>
      </c>
      <c r="D29" s="3" t="s">
        <v>33</v>
      </c>
      <c r="E29" s="4">
        <v>173902</v>
      </c>
      <c r="F29" s="3" t="s">
        <v>93</v>
      </c>
      <c r="G29" s="3" t="s">
        <v>94</v>
      </c>
      <c r="H29" s="3" t="s">
        <v>26</v>
      </c>
      <c r="I29" s="3" t="s">
        <v>27</v>
      </c>
      <c r="J29" s="6" t="str">
        <f>HYPERLINK("http://www.group.bnpparibas","www.group.bnpparibas")</f>
        <v>www.group.bnpparibas</v>
      </c>
    </row>
    <row r="30" spans="2:10" x14ac:dyDescent="0.2">
      <c r="B30" s="5" t="s">
        <v>95</v>
      </c>
      <c r="C30" s="5" t="s">
        <v>96</v>
      </c>
      <c r="D30" s="5" t="s">
        <v>12</v>
      </c>
      <c r="E30" s="7">
        <v>110</v>
      </c>
      <c r="F30" s="5" t="s">
        <v>98</v>
      </c>
      <c r="G30" s="5" t="s">
        <v>99</v>
      </c>
      <c r="H30" s="5" t="s">
        <v>49</v>
      </c>
      <c r="I30" s="5" t="s">
        <v>58</v>
      </c>
      <c r="J30" s="1" t="str">
        <f>HYPERLINK("http://www.cardinalstone.com","www.cardinalstone.com")</f>
        <v>www.cardinalstone.com</v>
      </c>
    </row>
    <row r="31" spans="2:10" x14ac:dyDescent="0.2">
      <c r="B31" s="3" t="s">
        <v>100</v>
      </c>
      <c r="C31" s="3" t="s">
        <v>101</v>
      </c>
      <c r="D31" s="3" t="s">
        <v>12</v>
      </c>
      <c r="E31" s="4">
        <v>9528</v>
      </c>
      <c r="F31" s="3" t="s">
        <v>24</v>
      </c>
      <c r="G31" s="3" t="s">
        <v>25</v>
      </c>
      <c r="H31" s="3" t="s">
        <v>26</v>
      </c>
      <c r="I31" s="3" t="s">
        <v>27</v>
      </c>
      <c r="J31" s="6" t="str">
        <f>HYPERLINK("http://www.investec.com","www.investec.com")</f>
        <v>www.investec.com</v>
      </c>
    </row>
    <row r="32" spans="2:10" x14ac:dyDescent="0.2">
      <c r="B32" s="5" t="s">
        <v>102</v>
      </c>
      <c r="C32" s="5" t="s">
        <v>103</v>
      </c>
      <c r="D32" s="5" t="s">
        <v>12</v>
      </c>
      <c r="E32" s="7">
        <v>74251</v>
      </c>
      <c r="F32" s="5" t="s">
        <v>13</v>
      </c>
      <c r="G32" s="5" t="s">
        <v>14</v>
      </c>
      <c r="H32" s="5" t="s">
        <v>15</v>
      </c>
      <c r="I32" s="5" t="s">
        <v>16</v>
      </c>
      <c r="J32" s="1" t="str">
        <f>HYPERLINK("http://www.jpmorgan.com","www.jpmorgan.com")</f>
        <v>www.jpmorgan.com</v>
      </c>
    </row>
    <row r="33" spans="2:10" x14ac:dyDescent="0.2">
      <c r="B33" s="3" t="s">
        <v>104</v>
      </c>
      <c r="C33" s="3" t="s">
        <v>105</v>
      </c>
      <c r="D33" s="3" t="s">
        <v>44</v>
      </c>
      <c r="E33" s="4">
        <v>232981</v>
      </c>
      <c r="F33" s="3" t="s">
        <v>106</v>
      </c>
      <c r="G33" s="3" t="s">
        <v>107</v>
      </c>
      <c r="H33" s="3" t="s">
        <v>26</v>
      </c>
      <c r="I33" s="3" t="s">
        <v>27</v>
      </c>
      <c r="J33" s="6" t="str">
        <f>HYPERLINK("http://www.kpmg.com","www.kpmg.com")</f>
        <v>www.kpmg.com</v>
      </c>
    </row>
    <row r="34" spans="2:10" x14ac:dyDescent="0.2">
      <c r="B34" s="5" t="s">
        <v>108</v>
      </c>
      <c r="C34" s="5" t="s">
        <v>109</v>
      </c>
      <c r="D34" s="5" t="s">
        <v>23</v>
      </c>
      <c r="E34" s="7">
        <v>2900</v>
      </c>
      <c r="F34" s="5" t="s">
        <v>110</v>
      </c>
      <c r="G34" s="5" t="s">
        <v>14</v>
      </c>
      <c r="H34" s="5" t="s">
        <v>15</v>
      </c>
      <c r="I34" s="5" t="s">
        <v>16</v>
      </c>
      <c r="J34" s="1" t="str">
        <f>HYPERLINK("http://www.orrick.com","www.orrick.com")</f>
        <v>www.orrick.com</v>
      </c>
    </row>
    <row r="35" spans="2:10" x14ac:dyDescent="0.2">
      <c r="B35" s="3" t="s">
        <v>111</v>
      </c>
      <c r="C35" s="3" t="s">
        <v>112</v>
      </c>
      <c r="D35" s="3" t="s">
        <v>30</v>
      </c>
      <c r="E35" s="4">
        <v>516</v>
      </c>
      <c r="F35" s="3" t="s">
        <v>93</v>
      </c>
      <c r="G35" s="3" t="s">
        <v>94</v>
      </c>
      <c r="H35" s="3" t="s">
        <v>26</v>
      </c>
      <c r="I35" s="3" t="s">
        <v>27</v>
      </c>
      <c r="J35" s="6" t="str">
        <f>HYPERLINK("http://www.proparco.fr","www.proparco.fr")</f>
        <v>www.proparco.fr</v>
      </c>
    </row>
    <row r="36" spans="2:10" x14ac:dyDescent="0.2">
      <c r="B36" s="5" t="s">
        <v>113</v>
      </c>
      <c r="C36" s="5" t="s">
        <v>114</v>
      </c>
      <c r="D36" s="5" t="s">
        <v>33</v>
      </c>
      <c r="E36" s="7">
        <v>196391</v>
      </c>
      <c r="F36" s="5" t="s">
        <v>110</v>
      </c>
      <c r="G36" s="5" t="s">
        <v>14</v>
      </c>
      <c r="H36" s="5" t="s">
        <v>15</v>
      </c>
      <c r="I36" s="5" t="s">
        <v>16</v>
      </c>
      <c r="J36" s="1" t="str">
        <f>HYPERLINK("http://www.wellsfargo.com","www.wellsfargo.com")</f>
        <v>www.wellsfargo.com</v>
      </c>
    </row>
    <row r="37" spans="2:10" x14ac:dyDescent="0.2">
      <c r="B37" s="3" t="s">
        <v>115</v>
      </c>
      <c r="C37" s="3" t="s">
        <v>116</v>
      </c>
      <c r="D37" s="3" t="s">
        <v>23</v>
      </c>
      <c r="E37" s="4">
        <v>2228</v>
      </c>
      <c r="F37" s="3" t="s">
        <v>117</v>
      </c>
      <c r="G37" s="3" t="s">
        <v>14</v>
      </c>
      <c r="H37" s="3" t="s">
        <v>15</v>
      </c>
      <c r="I37" s="3" t="s">
        <v>16</v>
      </c>
      <c r="J37" s="6" t="str">
        <f>HYPERLINK("http://www.wsgr.com","www.wsgr.com")</f>
        <v>www.wsgr.com</v>
      </c>
    </row>
    <row r="38" spans="2:10" x14ac:dyDescent="0.2">
      <c r="B38" s="5" t="s">
        <v>118</v>
      </c>
      <c r="C38" s="5" t="s">
        <v>119</v>
      </c>
      <c r="D38" s="5" t="s">
        <v>23</v>
      </c>
      <c r="E38" s="7">
        <v>8352</v>
      </c>
      <c r="F38" s="5" t="s">
        <v>24</v>
      </c>
      <c r="G38" s="5" t="s">
        <v>25</v>
      </c>
      <c r="H38" s="5" t="s">
        <v>26</v>
      </c>
      <c r="I38" s="5" t="s">
        <v>27</v>
      </c>
      <c r="J38" s="1" t="str">
        <f>HYPERLINK("http://www.cliffordchance.com","www.cliffordchance.com")</f>
        <v>www.cliffordchance.com</v>
      </c>
    </row>
    <row r="39" spans="2:10" x14ac:dyDescent="0.2">
      <c r="B39" s="3" t="s">
        <v>120</v>
      </c>
      <c r="C39" s="3" t="s">
        <v>121</v>
      </c>
      <c r="D39" s="3" t="s">
        <v>23</v>
      </c>
      <c r="E39" s="4">
        <v>9488</v>
      </c>
      <c r="F39" s="3" t="s">
        <v>122</v>
      </c>
      <c r="G39" s="3" t="s">
        <v>14</v>
      </c>
      <c r="H39" s="3" t="s">
        <v>15</v>
      </c>
      <c r="I39" s="3" t="s">
        <v>16</v>
      </c>
      <c r="J39" s="6" t="str">
        <f>HYPERLINK("http://www.dentons.com","www.dentons.com")</f>
        <v>www.dentons.com</v>
      </c>
    </row>
    <row r="40" spans="2:10" x14ac:dyDescent="0.2">
      <c r="B40" s="5" t="s">
        <v>123</v>
      </c>
      <c r="C40" s="5" t="s">
        <v>124</v>
      </c>
      <c r="D40" s="5" t="s">
        <v>12</v>
      </c>
      <c r="E40" s="7">
        <v>1354</v>
      </c>
      <c r="F40" s="5" t="s">
        <v>47</v>
      </c>
      <c r="G40" s="5" t="s">
        <v>48</v>
      </c>
      <c r="H40" s="5" t="s">
        <v>49</v>
      </c>
      <c r="I40" s="5" t="s">
        <v>50</v>
      </c>
      <c r="J40" s="1" t="str">
        <f>HYPERLINK("http://efghldg.com","efghldg.com")</f>
        <v>efghldg.com</v>
      </c>
    </row>
    <row r="41" spans="2:10" x14ac:dyDescent="0.2">
      <c r="B41" s="3" t="s">
        <v>125</v>
      </c>
      <c r="C41" s="3" t="s">
        <v>126</v>
      </c>
      <c r="D41" s="3" t="s">
        <v>23</v>
      </c>
      <c r="E41" s="4">
        <v>7076</v>
      </c>
      <c r="F41" s="3" t="s">
        <v>24</v>
      </c>
      <c r="G41" s="3" t="s">
        <v>25</v>
      </c>
      <c r="H41" s="3" t="s">
        <v>26</v>
      </c>
      <c r="I41" s="3" t="s">
        <v>27</v>
      </c>
      <c r="J41" s="6" t="str">
        <f>HYPERLINK("http://www.freshfields.com","www.freshfields.com")</f>
        <v>www.freshfields.com</v>
      </c>
    </row>
    <row r="42" spans="2:10" x14ac:dyDescent="0.2">
      <c r="B42" s="5" t="s">
        <v>127</v>
      </c>
      <c r="C42" s="5" t="s">
        <v>128</v>
      </c>
      <c r="D42" s="5" t="s">
        <v>23</v>
      </c>
      <c r="E42" s="7">
        <v>715</v>
      </c>
      <c r="F42" s="5" t="s">
        <v>129</v>
      </c>
      <c r="G42" s="5" t="s">
        <v>14</v>
      </c>
      <c r="H42" s="5" t="s">
        <v>15</v>
      </c>
      <c r="I42" s="5" t="s">
        <v>16</v>
      </c>
      <c r="J42" s="1" t="str">
        <f>HYPERLINK("http://www.gunder.com","www.gunder.com")</f>
        <v>www.gunder.com</v>
      </c>
    </row>
    <row r="43" spans="2:10" x14ac:dyDescent="0.2">
      <c r="B43" s="3" t="s">
        <v>130</v>
      </c>
      <c r="C43" s="3" t="s">
        <v>131</v>
      </c>
      <c r="D43" s="3" t="s">
        <v>12</v>
      </c>
      <c r="E43" s="4">
        <v>134</v>
      </c>
      <c r="F43" s="3" t="s">
        <v>13</v>
      </c>
      <c r="G43" s="3" t="s">
        <v>14</v>
      </c>
      <c r="H43" s="3" t="s">
        <v>15</v>
      </c>
      <c r="I43" s="3" t="s">
        <v>16</v>
      </c>
      <c r="J43" s="6" t="str">
        <f>HYPERLINK("http://www.hcwco.com","www.hcwco.com")</f>
        <v>www.hcwco.com</v>
      </c>
    </row>
    <row r="44" spans="2:10" x14ac:dyDescent="0.2">
      <c r="B44" s="5" t="s">
        <v>132</v>
      </c>
      <c r="C44" s="5" t="s">
        <v>133</v>
      </c>
      <c r="D44" s="5" t="s">
        <v>134</v>
      </c>
      <c r="E44" s="7">
        <v>114</v>
      </c>
      <c r="F44" s="5" t="s">
        <v>110</v>
      </c>
      <c r="G44" s="5" t="s">
        <v>14</v>
      </c>
      <c r="H44" s="5" t="s">
        <v>15</v>
      </c>
      <c r="I44" s="5" t="s">
        <v>16</v>
      </c>
      <c r="J44" s="1" t="str">
        <f>HYPERLINK("http://www.indiegogo.com","www.indiegogo.com")</f>
        <v>www.indiegogo.com</v>
      </c>
    </row>
    <row r="45" spans="2:10" x14ac:dyDescent="0.2">
      <c r="B45" s="3" t="s">
        <v>135</v>
      </c>
      <c r="C45" s="3" t="s">
        <v>136</v>
      </c>
      <c r="D45" s="3" t="s">
        <v>12</v>
      </c>
      <c r="E45" s="4">
        <v>7617</v>
      </c>
      <c r="F45" s="3" t="s">
        <v>13</v>
      </c>
      <c r="G45" s="3" t="s">
        <v>14</v>
      </c>
      <c r="H45" s="3" t="s">
        <v>15</v>
      </c>
      <c r="I45" s="3" t="s">
        <v>16</v>
      </c>
      <c r="J45" s="6" t="str">
        <f>HYPERLINK("http://www.jefferies.com","www.jefferies.com")</f>
        <v>www.jefferies.com</v>
      </c>
    </row>
    <row r="46" spans="2:10" x14ac:dyDescent="0.2">
      <c r="B46" s="5" t="s">
        <v>137</v>
      </c>
      <c r="C46" s="5" t="s">
        <v>138</v>
      </c>
      <c r="D46" s="5" t="s">
        <v>12</v>
      </c>
      <c r="E46" s="7">
        <v>4078</v>
      </c>
      <c r="F46" s="5" t="s">
        <v>90</v>
      </c>
      <c r="G46" s="5" t="s">
        <v>84</v>
      </c>
      <c r="H46" s="5" t="s">
        <v>49</v>
      </c>
      <c r="I46" s="5" t="s">
        <v>85</v>
      </c>
      <c r="J46" s="1" t="str">
        <f>HYPERLINK("http://www.rmb.co.za","www.rmb.co.za")</f>
        <v>www.rmb.co.za</v>
      </c>
    </row>
    <row r="47" spans="2:10" x14ac:dyDescent="0.2">
      <c r="B47" s="3" t="s">
        <v>139</v>
      </c>
      <c r="C47" s="3" t="s">
        <v>140</v>
      </c>
      <c r="D47" s="3" t="s">
        <v>23</v>
      </c>
      <c r="E47" s="4">
        <v>3062</v>
      </c>
      <c r="F47" s="3" t="s">
        <v>13</v>
      </c>
      <c r="G47" s="3" t="s">
        <v>14</v>
      </c>
      <c r="H47" s="3" t="s">
        <v>15</v>
      </c>
      <c r="I47" s="3" t="s">
        <v>16</v>
      </c>
      <c r="J47" s="6" t="str">
        <f>HYPERLINK("http://www.stblaw.com","www.stblaw.com")</f>
        <v>www.stblaw.com</v>
      </c>
    </row>
    <row r="48" spans="2:10" x14ac:dyDescent="0.2">
      <c r="B48" s="5" t="s">
        <v>141</v>
      </c>
      <c r="C48" s="5" t="s">
        <v>142</v>
      </c>
      <c r="D48" s="5" t="s">
        <v>23</v>
      </c>
      <c r="E48" s="7">
        <v>12136</v>
      </c>
      <c r="F48" s="5" t="s">
        <v>122</v>
      </c>
      <c r="G48" s="5" t="s">
        <v>14</v>
      </c>
      <c r="H48" s="5" t="s">
        <v>15</v>
      </c>
      <c r="I48" s="5" t="s">
        <v>16</v>
      </c>
      <c r="J48" s="1" t="str">
        <f>HYPERLINK("http://www.bakermckenzie.com","www.bakermckenzie.com")</f>
        <v>www.bakermckenzie.com</v>
      </c>
    </row>
    <row r="49" spans="2:10" x14ac:dyDescent="0.2">
      <c r="B49" s="3" t="s">
        <v>143</v>
      </c>
      <c r="C49" s="3" t="s">
        <v>144</v>
      </c>
      <c r="D49" s="3" t="s">
        <v>97</v>
      </c>
      <c r="E49" s="4">
        <v>9</v>
      </c>
      <c r="F49" s="3" t="s">
        <v>145</v>
      </c>
      <c r="G49" s="3" t="s">
        <v>146</v>
      </c>
      <c r="H49" s="3" t="s">
        <v>49</v>
      </c>
      <c r="I49" s="3" t="s">
        <v>50</v>
      </c>
      <c r="J49" s="6" t="str">
        <f>HYPERLINK("http://www.groupe-emerge.com","www.groupe-emerge.com")</f>
        <v>www.groupe-emerge.com</v>
      </c>
    </row>
    <row r="50" spans="2:10" x14ac:dyDescent="0.2">
      <c r="B50" s="5" t="s">
        <v>147</v>
      </c>
      <c r="C50" s="5" t="s">
        <v>148</v>
      </c>
      <c r="D50" s="5" t="s">
        <v>23</v>
      </c>
      <c r="E50" s="7">
        <v>24</v>
      </c>
      <c r="F50" s="5" t="s">
        <v>110</v>
      </c>
      <c r="G50" s="5" t="s">
        <v>14</v>
      </c>
      <c r="H50" s="5" t="s">
        <v>15</v>
      </c>
      <c r="I50" s="5" t="s">
        <v>16</v>
      </c>
      <c r="J50" s="1" t="str">
        <f>HYPERLINK("http://www.inventuslaw.com","www.inventuslaw.com")</f>
        <v>www.inventuslaw.com</v>
      </c>
    </row>
    <row r="51" spans="2:10" x14ac:dyDescent="0.2">
      <c r="B51" s="3" t="s">
        <v>149</v>
      </c>
      <c r="C51" s="3" t="s">
        <v>150</v>
      </c>
      <c r="D51" s="3" t="s">
        <v>12</v>
      </c>
      <c r="E51" s="4" t="s">
        <v>10</v>
      </c>
      <c r="F51" s="3" t="s">
        <v>47</v>
      </c>
      <c r="G51" s="3" t="s">
        <v>48</v>
      </c>
      <c r="H51" s="3" t="s">
        <v>49</v>
      </c>
      <c r="I51" s="3" t="s">
        <v>50</v>
      </c>
      <c r="J51" s="6" t="str">
        <f>HYPERLINK("http://www.pharosholding.com","www.pharosholding.com")</f>
        <v>www.pharosholding.com</v>
      </c>
    </row>
    <row r="52" spans="2:10" x14ac:dyDescent="0.2">
      <c r="B52" s="5" t="s">
        <v>151</v>
      </c>
      <c r="C52" s="5" t="s">
        <v>152</v>
      </c>
      <c r="D52" s="5" t="s">
        <v>12</v>
      </c>
      <c r="E52" s="7">
        <v>646</v>
      </c>
      <c r="F52" s="5" t="s">
        <v>153</v>
      </c>
      <c r="G52" s="5" t="s">
        <v>154</v>
      </c>
      <c r="H52" s="5" t="s">
        <v>26</v>
      </c>
      <c r="I52" s="5" t="s">
        <v>155</v>
      </c>
      <c r="J52" s="1" t="str">
        <f>HYPERLINK("http://www.rencap.com","www.rencap.com")</f>
        <v>www.rencap.com</v>
      </c>
    </row>
    <row r="53" spans="2:10" x14ac:dyDescent="0.2">
      <c r="B53" s="3" t="s">
        <v>156</v>
      </c>
      <c r="C53" s="3" t="s">
        <v>157</v>
      </c>
      <c r="D53" s="3" t="s">
        <v>134</v>
      </c>
      <c r="E53" s="4">
        <v>687</v>
      </c>
      <c r="F53" s="3" t="s">
        <v>13</v>
      </c>
      <c r="G53" s="3" t="s">
        <v>14</v>
      </c>
      <c r="H53" s="3" t="s">
        <v>15</v>
      </c>
      <c r="I53" s="3" t="s">
        <v>16</v>
      </c>
      <c r="J53" s="6" t="str">
        <f>HYPERLINK("http://www.republic.com","www.republic.com")</f>
        <v>www.republic.com</v>
      </c>
    </row>
    <row r="54" spans="2:10" x14ac:dyDescent="0.2">
      <c r="B54" s="5" t="s">
        <v>158</v>
      </c>
      <c r="C54" s="5" t="s">
        <v>159</v>
      </c>
      <c r="D54" s="5" t="s">
        <v>30</v>
      </c>
      <c r="E54" s="7">
        <v>4</v>
      </c>
      <c r="F54" s="5" t="s">
        <v>160</v>
      </c>
      <c r="G54" s="5" t="s">
        <v>161</v>
      </c>
      <c r="H54" s="5" t="s">
        <v>49</v>
      </c>
      <c r="I54" s="5" t="s">
        <v>78</v>
      </c>
      <c r="J54" s="1" t="str">
        <f>HYPERLINK("http://shonacapital.co","shonacapital.co")</f>
        <v>shonacapital.co</v>
      </c>
    </row>
    <row r="55" spans="2:10" x14ac:dyDescent="0.2">
      <c r="B55" s="3" t="s">
        <v>162</v>
      </c>
      <c r="C55" s="3" t="s">
        <v>163</v>
      </c>
      <c r="D55" s="3" t="s">
        <v>23</v>
      </c>
      <c r="E55" s="4" t="s">
        <v>10</v>
      </c>
      <c r="F55" s="3" t="s">
        <v>110</v>
      </c>
      <c r="G55" s="3" t="s">
        <v>14</v>
      </c>
      <c r="H55" s="3" t="s">
        <v>15</v>
      </c>
      <c r="I55" s="3" t="s">
        <v>16</v>
      </c>
      <c r="J55" s="6" t="str">
        <f>HYPERLINK("http://www.tlaspc.com","www.tlaspc.com")</f>
        <v>www.tlaspc.com</v>
      </c>
    </row>
    <row r="56" spans="2:10" x14ac:dyDescent="0.2">
      <c r="B56" s="5" t="s">
        <v>164</v>
      </c>
      <c r="C56" s="5" t="s">
        <v>165</v>
      </c>
      <c r="D56" s="5" t="s">
        <v>23</v>
      </c>
      <c r="E56" s="7">
        <v>141</v>
      </c>
      <c r="F56" s="5" t="s">
        <v>47</v>
      </c>
      <c r="G56" s="5" t="s">
        <v>48</v>
      </c>
      <c r="H56" s="5" t="s">
        <v>49</v>
      </c>
      <c r="I56" s="5" t="s">
        <v>50</v>
      </c>
      <c r="J56" s="1" t="str">
        <f>HYPERLINK("http://www.hashemlaw.com","www.hashemlaw.com")</f>
        <v>www.hashemlaw.com</v>
      </c>
    </row>
    <row r="57" spans="2:10" x14ac:dyDescent="0.2">
      <c r="B57" s="3" t="s">
        <v>166</v>
      </c>
      <c r="C57" s="3" t="s">
        <v>167</v>
      </c>
      <c r="D57" s="3" t="s">
        <v>23</v>
      </c>
      <c r="E57" s="4">
        <v>112</v>
      </c>
      <c r="F57" s="3" t="s">
        <v>47</v>
      </c>
      <c r="G57" s="3" t="s">
        <v>48</v>
      </c>
      <c r="H57" s="3" t="s">
        <v>49</v>
      </c>
      <c r="I57" s="3" t="s">
        <v>50</v>
      </c>
      <c r="J57" s="6" t="str">
        <f>HYPERLINK("http://www.zulficarpartners.com","www.zulficarpartners.com")</f>
        <v>www.zulficarpartners.com</v>
      </c>
    </row>
    <row r="58" spans="2:10" x14ac:dyDescent="0.2">
      <c r="B58" s="5" t="s">
        <v>168</v>
      </c>
      <c r="C58" s="5" t="s">
        <v>169</v>
      </c>
      <c r="D58" s="5" t="s">
        <v>33</v>
      </c>
      <c r="E58" s="7" t="s">
        <v>10</v>
      </c>
      <c r="F58" s="5" t="s">
        <v>56</v>
      </c>
      <c r="G58" s="5" t="s">
        <v>57</v>
      </c>
      <c r="H58" s="5" t="s">
        <v>49</v>
      </c>
      <c r="I58" s="5" t="s">
        <v>58</v>
      </c>
      <c r="J58" s="1" t="str">
        <f>HYPERLINK("http://www.afdb.org","www.afdb.org")</f>
        <v>www.afdb.org</v>
      </c>
    </row>
    <row r="59" spans="2:10" x14ac:dyDescent="0.2">
      <c r="B59" s="3" t="s">
        <v>170</v>
      </c>
      <c r="C59" s="3" t="s">
        <v>171</v>
      </c>
      <c r="D59" s="3" t="s">
        <v>23</v>
      </c>
      <c r="E59" s="4">
        <v>156</v>
      </c>
      <c r="F59" s="3" t="s">
        <v>98</v>
      </c>
      <c r="G59" s="3" t="s">
        <v>99</v>
      </c>
      <c r="H59" s="3" t="s">
        <v>49</v>
      </c>
      <c r="I59" s="3" t="s">
        <v>58</v>
      </c>
      <c r="J59" s="6" t="str">
        <f>HYPERLINK("http://www.banwo-ighodalo.com","www.banwo-ighodalo.com")</f>
        <v>www.banwo-ighodalo.com</v>
      </c>
    </row>
    <row r="60" spans="2:10" x14ac:dyDescent="0.2">
      <c r="B60" s="5" t="s">
        <v>172</v>
      </c>
      <c r="C60" s="5" t="s">
        <v>173</v>
      </c>
      <c r="D60" s="5" t="s">
        <v>23</v>
      </c>
      <c r="E60" s="7" t="s">
        <v>10</v>
      </c>
      <c r="F60" s="5" t="s">
        <v>174</v>
      </c>
      <c r="G60" s="5" t="s">
        <v>14</v>
      </c>
      <c r="H60" s="5" t="s">
        <v>15</v>
      </c>
      <c r="I60" s="5" t="s">
        <v>16</v>
      </c>
      <c r="J60" s="1" t="str">
        <f>HYPERLINK("http://www.bowie-jensen.com","www.bowie-jensen.com")</f>
        <v>www.bowie-jensen.com</v>
      </c>
    </row>
    <row r="61" spans="2:10" x14ac:dyDescent="0.2">
      <c r="B61" s="3" t="s">
        <v>175</v>
      </c>
      <c r="C61" s="3" t="s">
        <v>176</v>
      </c>
      <c r="D61" s="3" t="s">
        <v>12</v>
      </c>
      <c r="E61" s="4">
        <v>816</v>
      </c>
      <c r="F61" s="3" t="s">
        <v>110</v>
      </c>
      <c r="G61" s="3" t="s">
        <v>14</v>
      </c>
      <c r="H61" s="3" t="s">
        <v>15</v>
      </c>
      <c r="I61" s="3" t="s">
        <v>16</v>
      </c>
      <c r="J61" s="6" t="str">
        <f>HYPERLINK("http://www.btig.com","www.btig.com")</f>
        <v>www.btig.com</v>
      </c>
    </row>
    <row r="62" spans="2:10" x14ac:dyDescent="0.2">
      <c r="B62" s="5" t="s">
        <v>177</v>
      </c>
      <c r="C62" s="5" t="s">
        <v>178</v>
      </c>
      <c r="D62" s="5" t="s">
        <v>12</v>
      </c>
      <c r="E62" s="7">
        <v>956</v>
      </c>
      <c r="F62" s="5" t="s">
        <v>179</v>
      </c>
      <c r="G62" s="5" t="s">
        <v>180</v>
      </c>
      <c r="H62" s="5" t="s">
        <v>26</v>
      </c>
      <c r="I62" s="5" t="s">
        <v>181</v>
      </c>
      <c r="J62" s="1" t="str">
        <f>HYPERLINK("http://www.carnegie.se","www.carnegie.se")</f>
        <v>www.carnegie.se</v>
      </c>
    </row>
    <row r="63" spans="2:10" x14ac:dyDescent="0.2">
      <c r="B63" s="3" t="s">
        <v>182</v>
      </c>
      <c r="C63" s="3" t="s">
        <v>183</v>
      </c>
      <c r="D63" s="3" t="s">
        <v>12</v>
      </c>
      <c r="E63" s="4">
        <v>662</v>
      </c>
      <c r="F63" s="3" t="s">
        <v>13</v>
      </c>
      <c r="G63" s="3" t="s">
        <v>14</v>
      </c>
      <c r="H63" s="3" t="s">
        <v>15</v>
      </c>
      <c r="I63" s="3" t="s">
        <v>16</v>
      </c>
      <c r="J63" s="6" t="str">
        <f>HYPERLINK("http://www.centerviewpartners.com","www.centerviewpartners.com")</f>
        <v>www.centerviewpartners.com</v>
      </c>
    </row>
    <row r="64" spans="2:10" x14ac:dyDescent="0.2">
      <c r="B64" s="5" t="s">
        <v>184</v>
      </c>
      <c r="C64" s="5" t="s">
        <v>185</v>
      </c>
      <c r="D64" s="5" t="s">
        <v>23</v>
      </c>
      <c r="E64" s="7">
        <v>712</v>
      </c>
      <c r="F64" s="5" t="s">
        <v>90</v>
      </c>
      <c r="G64" s="5" t="s">
        <v>84</v>
      </c>
      <c r="H64" s="5" t="s">
        <v>49</v>
      </c>
      <c r="I64" s="5" t="s">
        <v>85</v>
      </c>
      <c r="J64" s="1" t="str">
        <f>HYPERLINK("http://www.cliffedekkerhofmeyr.com","www.cliffedekkerhofmeyr.com")</f>
        <v>www.cliffedekkerhofmeyr.com</v>
      </c>
    </row>
    <row r="65" spans="2:10" x14ac:dyDescent="0.2">
      <c r="B65" s="3" t="s">
        <v>186</v>
      </c>
      <c r="C65" s="3" t="s">
        <v>187</v>
      </c>
      <c r="D65" s="3" t="s">
        <v>23</v>
      </c>
      <c r="E65" s="4">
        <v>5501</v>
      </c>
      <c r="F65" s="3" t="s">
        <v>24</v>
      </c>
      <c r="G65" s="3" t="s">
        <v>25</v>
      </c>
      <c r="H65" s="3" t="s">
        <v>26</v>
      </c>
      <c r="I65" s="3" t="s">
        <v>27</v>
      </c>
      <c r="J65" s="6" t="str">
        <f>HYPERLINK("http://www.clydeco.com","www.clydeco.com")</f>
        <v>www.clydeco.com</v>
      </c>
    </row>
    <row r="66" spans="2:10" x14ac:dyDescent="0.2">
      <c r="B66" s="5" t="s">
        <v>188</v>
      </c>
      <c r="C66" s="5" t="s">
        <v>10</v>
      </c>
      <c r="D66" s="5" t="s">
        <v>189</v>
      </c>
      <c r="E66" s="7" t="s">
        <v>10</v>
      </c>
      <c r="F66" s="5" t="s">
        <v>190</v>
      </c>
      <c r="G66" s="5" t="s">
        <v>84</v>
      </c>
      <c r="H66" s="5" t="s">
        <v>49</v>
      </c>
      <c r="I66" s="5" t="s">
        <v>85</v>
      </c>
      <c r="J66" s="1" t="str">
        <f>HYPERLINK("http://www.c2c.co.za","www.c2c.co.za")</f>
        <v>www.c2c.co.za</v>
      </c>
    </row>
    <row r="67" spans="2:10" x14ac:dyDescent="0.2">
      <c r="B67" s="3" t="s">
        <v>191</v>
      </c>
      <c r="C67" s="3" t="s">
        <v>192</v>
      </c>
      <c r="D67" s="3" t="s">
        <v>12</v>
      </c>
      <c r="E67" s="4" t="s">
        <v>10</v>
      </c>
      <c r="F67" s="3" t="s">
        <v>13</v>
      </c>
      <c r="G67" s="3" t="s">
        <v>14</v>
      </c>
      <c r="H67" s="3" t="s">
        <v>15</v>
      </c>
      <c r="I67" s="3" t="s">
        <v>16</v>
      </c>
      <c r="J67" s="3" t="s">
        <v>10</v>
      </c>
    </row>
    <row r="68" spans="2:10" x14ac:dyDescent="0.2">
      <c r="B68" s="5" t="s">
        <v>193</v>
      </c>
      <c r="C68" s="5" t="s">
        <v>194</v>
      </c>
      <c r="D68" s="5" t="s">
        <v>195</v>
      </c>
      <c r="E68" s="7">
        <v>4915</v>
      </c>
      <c r="F68" s="5" t="s">
        <v>196</v>
      </c>
      <c r="G68" s="5" t="s">
        <v>197</v>
      </c>
      <c r="H68" s="5" t="s">
        <v>26</v>
      </c>
      <c r="I68" s="5" t="s">
        <v>27</v>
      </c>
      <c r="J68" s="1" t="str">
        <f>HYPERLINK("http://www.eib.org","www.eib.org")</f>
        <v>www.eib.org</v>
      </c>
    </row>
    <row r="69" spans="2:10" x14ac:dyDescent="0.2">
      <c r="B69" s="3" t="s">
        <v>198</v>
      </c>
      <c r="C69" s="3" t="s">
        <v>199</v>
      </c>
      <c r="D69" s="3" t="s">
        <v>12</v>
      </c>
      <c r="E69" s="4">
        <v>3053</v>
      </c>
      <c r="F69" s="3" t="s">
        <v>13</v>
      </c>
      <c r="G69" s="3" t="s">
        <v>14</v>
      </c>
      <c r="H69" s="3" t="s">
        <v>15</v>
      </c>
      <c r="I69" s="3" t="s">
        <v>16</v>
      </c>
      <c r="J69" s="6" t="str">
        <f>HYPERLINK("http://www.evercore.com","www.evercore.com")</f>
        <v>www.evercore.com</v>
      </c>
    </row>
    <row r="70" spans="2:10" x14ac:dyDescent="0.2">
      <c r="B70" s="5" t="s">
        <v>200</v>
      </c>
      <c r="C70" s="5" t="s">
        <v>201</v>
      </c>
      <c r="D70" s="5" t="s">
        <v>33</v>
      </c>
      <c r="E70" s="7">
        <v>1071</v>
      </c>
      <c r="F70" s="5" t="s">
        <v>202</v>
      </c>
      <c r="G70" s="5" t="s">
        <v>107</v>
      </c>
      <c r="H70" s="5" t="s">
        <v>26</v>
      </c>
      <c r="I70" s="5" t="s">
        <v>27</v>
      </c>
      <c r="J70" s="1" t="str">
        <f>HYPERLINK("http://www.fmo.nl","www.fmo.nl")</f>
        <v>www.fmo.nl</v>
      </c>
    </row>
    <row r="71" spans="2:10" x14ac:dyDescent="0.2">
      <c r="B71" s="3" t="s">
        <v>203</v>
      </c>
      <c r="C71" s="3" t="s">
        <v>204</v>
      </c>
      <c r="D71" s="3" t="s">
        <v>23</v>
      </c>
      <c r="E71" s="4">
        <v>14</v>
      </c>
      <c r="F71" s="3" t="s">
        <v>24</v>
      </c>
      <c r="G71" s="3" t="s">
        <v>25</v>
      </c>
      <c r="H71" s="3" t="s">
        <v>26</v>
      </c>
      <c r="I71" s="3" t="s">
        <v>27</v>
      </c>
      <c r="J71" s="6" t="str">
        <f>HYPERLINK("http://freedmanhilmi.com","freedmanhilmi.com")</f>
        <v>freedmanhilmi.com</v>
      </c>
    </row>
    <row r="72" spans="2:10" x14ac:dyDescent="0.2">
      <c r="B72" s="5" t="s">
        <v>205</v>
      </c>
      <c r="C72" s="5" t="s">
        <v>206</v>
      </c>
      <c r="D72" s="5" t="s">
        <v>23</v>
      </c>
      <c r="E72" s="7">
        <v>3890</v>
      </c>
      <c r="F72" s="5" t="s">
        <v>207</v>
      </c>
      <c r="G72" s="5" t="s">
        <v>14</v>
      </c>
      <c r="H72" s="5" t="s">
        <v>15</v>
      </c>
      <c r="I72" s="5" t="s">
        <v>16</v>
      </c>
      <c r="J72" s="1" t="str">
        <f>HYPERLINK("http://www.goodwinlaw.com","www.goodwinlaw.com")</f>
        <v>www.goodwinlaw.com</v>
      </c>
    </row>
    <row r="73" spans="2:10" x14ac:dyDescent="0.2">
      <c r="B73" s="3" t="s">
        <v>208</v>
      </c>
      <c r="C73" s="3" t="s">
        <v>209</v>
      </c>
      <c r="D73" s="3" t="s">
        <v>12</v>
      </c>
      <c r="E73" s="4">
        <v>137</v>
      </c>
      <c r="F73" s="3" t="s">
        <v>210</v>
      </c>
      <c r="G73" s="3" t="s">
        <v>48</v>
      </c>
      <c r="H73" s="3" t="s">
        <v>49</v>
      </c>
      <c r="I73" s="3" t="s">
        <v>50</v>
      </c>
      <c r="J73" s="6" t="str">
        <f>HYPERLINK("http://www.hc-si.com","www.hc-si.com")</f>
        <v>www.hc-si.com</v>
      </c>
    </row>
    <row r="74" spans="2:10" x14ac:dyDescent="0.2">
      <c r="B74" s="5" t="s">
        <v>211</v>
      </c>
      <c r="C74" s="5" t="s">
        <v>212</v>
      </c>
      <c r="D74" s="5" t="s">
        <v>23</v>
      </c>
      <c r="E74" s="7">
        <v>7505</v>
      </c>
      <c r="F74" s="5" t="s">
        <v>37</v>
      </c>
      <c r="G74" s="5" t="s">
        <v>14</v>
      </c>
      <c r="H74" s="5" t="s">
        <v>15</v>
      </c>
      <c r="I74" s="5" t="s">
        <v>16</v>
      </c>
      <c r="J74" s="1" t="str">
        <f>HYPERLINK("http://www.hoganlovells.com","www.hoganlovells.com")</f>
        <v>www.hoganlovells.com</v>
      </c>
    </row>
    <row r="75" spans="2:10" x14ac:dyDescent="0.2">
      <c r="B75" s="3" t="s">
        <v>213</v>
      </c>
      <c r="C75" s="3" t="s">
        <v>214</v>
      </c>
      <c r="D75" s="3" t="s">
        <v>97</v>
      </c>
      <c r="E75" s="4">
        <v>20</v>
      </c>
      <c r="F75" s="3" t="s">
        <v>76</v>
      </c>
      <c r="G75" s="3" t="s">
        <v>77</v>
      </c>
      <c r="H75" s="3" t="s">
        <v>49</v>
      </c>
      <c r="I75" s="3" t="s">
        <v>78</v>
      </c>
      <c r="J75" s="6" t="str">
        <f>HYPERLINK("http://www.imburbidgecapital.com","www.imburbidgecapital.com")</f>
        <v>www.imburbidgecapital.com</v>
      </c>
    </row>
    <row r="76" spans="2:10" x14ac:dyDescent="0.2">
      <c r="B76" s="5" t="s">
        <v>215</v>
      </c>
      <c r="C76" s="5" t="s">
        <v>10</v>
      </c>
      <c r="D76" s="5" t="s">
        <v>44</v>
      </c>
      <c r="E76" s="7" t="s">
        <v>10</v>
      </c>
      <c r="F76" s="5" t="s">
        <v>216</v>
      </c>
      <c r="G76" s="5" t="s">
        <v>14</v>
      </c>
      <c r="H76" s="5" t="s">
        <v>15</v>
      </c>
      <c r="I76" s="5" t="s">
        <v>16</v>
      </c>
      <c r="J76" s="1" t="str">
        <f>HYPERLINK("http://www.ibisconsultinggroup.com","www.ibisconsultinggroup.com")</f>
        <v>www.ibisconsultinggroup.com</v>
      </c>
    </row>
    <row r="77" spans="2:10" x14ac:dyDescent="0.2">
      <c r="B77" s="3" t="s">
        <v>217</v>
      </c>
      <c r="C77" s="3" t="s">
        <v>218</v>
      </c>
      <c r="D77" s="3" t="s">
        <v>23</v>
      </c>
      <c r="E77" s="4">
        <v>6102</v>
      </c>
      <c r="F77" s="3" t="s">
        <v>37</v>
      </c>
      <c r="G77" s="3" t="s">
        <v>14</v>
      </c>
      <c r="H77" s="3" t="s">
        <v>15</v>
      </c>
      <c r="I77" s="3" t="s">
        <v>16</v>
      </c>
      <c r="J77" s="6" t="str">
        <f>HYPERLINK("http://www.jonesday.com","www.jonesday.com")</f>
        <v>www.jonesday.com</v>
      </c>
    </row>
    <row r="78" spans="2:10" x14ac:dyDescent="0.2">
      <c r="B78" s="5" t="s">
        <v>219</v>
      </c>
      <c r="C78" s="5" t="s">
        <v>220</v>
      </c>
      <c r="D78" s="5" t="s">
        <v>97</v>
      </c>
      <c r="E78" s="7">
        <v>238</v>
      </c>
      <c r="F78" s="5" t="s">
        <v>221</v>
      </c>
      <c r="G78" s="5" t="s">
        <v>222</v>
      </c>
      <c r="H78" s="5" t="s">
        <v>223</v>
      </c>
      <c r="I78" s="5" t="s">
        <v>223</v>
      </c>
      <c r="J78" s="1" t="str">
        <f>HYPERLINK("http://www.kamcoinvest.com","www.kamcoinvest.com")</f>
        <v>www.kamcoinvest.com</v>
      </c>
    </row>
    <row r="79" spans="2:10" x14ac:dyDescent="0.2">
      <c r="B79" s="3" t="s">
        <v>224</v>
      </c>
      <c r="C79" s="3" t="s">
        <v>225</v>
      </c>
      <c r="D79" s="3" t="s">
        <v>23</v>
      </c>
      <c r="E79" s="4">
        <v>2851</v>
      </c>
      <c r="F79" s="3" t="s">
        <v>226</v>
      </c>
      <c r="G79" s="3" t="s">
        <v>14</v>
      </c>
      <c r="H79" s="3" t="s">
        <v>15</v>
      </c>
      <c r="I79" s="3" t="s">
        <v>16</v>
      </c>
      <c r="J79" s="6" t="str">
        <f>HYPERLINK("http://www.kslaw.com","www.kslaw.com")</f>
        <v>www.kslaw.com</v>
      </c>
    </row>
    <row r="80" spans="2:10" x14ac:dyDescent="0.2">
      <c r="B80" s="5" t="s">
        <v>227</v>
      </c>
      <c r="C80" s="5" t="s">
        <v>228</v>
      </c>
      <c r="D80" s="5" t="s">
        <v>23</v>
      </c>
      <c r="E80" s="7">
        <v>8296</v>
      </c>
      <c r="F80" s="5" t="s">
        <v>229</v>
      </c>
      <c r="G80" s="5" t="s">
        <v>14</v>
      </c>
      <c r="H80" s="5" t="s">
        <v>15</v>
      </c>
      <c r="I80" s="5" t="s">
        <v>16</v>
      </c>
      <c r="J80" s="1" t="str">
        <f>HYPERLINK("http://www.lw.com","www.lw.com")</f>
        <v>www.lw.com</v>
      </c>
    </row>
    <row r="81" spans="2:10" x14ac:dyDescent="0.2">
      <c r="B81" s="3" t="s">
        <v>230</v>
      </c>
      <c r="C81" s="3" t="s">
        <v>231</v>
      </c>
      <c r="D81" s="3" t="s">
        <v>12</v>
      </c>
      <c r="E81" s="4">
        <v>274</v>
      </c>
      <c r="F81" s="3" t="s">
        <v>122</v>
      </c>
      <c r="G81" s="3" t="s">
        <v>14</v>
      </c>
      <c r="H81" s="3" t="s">
        <v>15</v>
      </c>
      <c r="I81" s="3" t="s">
        <v>16</v>
      </c>
      <c r="J81" s="6" t="str">
        <f>HYPERLINK("http://www.loopcapital.com","www.loopcapital.com")</f>
        <v>www.loopcapital.com</v>
      </c>
    </row>
    <row r="82" spans="2:10" x14ac:dyDescent="0.2">
      <c r="B82" s="5" t="s">
        <v>232</v>
      </c>
      <c r="C82" s="5" t="s">
        <v>233</v>
      </c>
      <c r="D82" s="5" t="s">
        <v>97</v>
      </c>
      <c r="E82" s="7">
        <v>12856</v>
      </c>
      <c r="F82" s="5" t="s">
        <v>234</v>
      </c>
      <c r="G82" s="5" t="s">
        <v>235</v>
      </c>
      <c r="H82" s="5" t="s">
        <v>236</v>
      </c>
      <c r="I82" s="5" t="s">
        <v>237</v>
      </c>
      <c r="J82" s="1" t="str">
        <f>HYPERLINK("http://www.mizuhogroup.com","www.mizuhogroup.com")</f>
        <v>www.mizuhogroup.com</v>
      </c>
    </row>
    <row r="83" spans="2:10" x14ac:dyDescent="0.2">
      <c r="B83" s="3" t="s">
        <v>238</v>
      </c>
      <c r="C83" s="3" t="s">
        <v>239</v>
      </c>
      <c r="D83" s="3" t="s">
        <v>23</v>
      </c>
      <c r="E83" s="4">
        <v>32</v>
      </c>
      <c r="F83" s="3" t="s">
        <v>76</v>
      </c>
      <c r="G83" s="3" t="s">
        <v>77</v>
      </c>
      <c r="H83" s="3" t="s">
        <v>49</v>
      </c>
      <c r="I83" s="3" t="s">
        <v>78</v>
      </c>
      <c r="J83" s="6" t="str">
        <f>HYPERLINK("http://www.mman.co.ke","www.mman.co.ke")</f>
        <v>www.mman.co.ke</v>
      </c>
    </row>
    <row r="84" spans="2:10" x14ac:dyDescent="0.2">
      <c r="B84" s="5" t="s">
        <v>240</v>
      </c>
      <c r="C84" s="5" t="s">
        <v>241</v>
      </c>
      <c r="D84" s="5" t="s">
        <v>33</v>
      </c>
      <c r="E84" s="7">
        <v>31756</v>
      </c>
      <c r="F84" s="5" t="s">
        <v>234</v>
      </c>
      <c r="G84" s="5" t="s">
        <v>235</v>
      </c>
      <c r="H84" s="5" t="s">
        <v>236</v>
      </c>
      <c r="I84" s="5" t="s">
        <v>237</v>
      </c>
      <c r="J84" s="1" t="str">
        <f>HYPERLINK("http://www.bk.mufg.jp","www.bk.mufg.jp")</f>
        <v>www.bk.mufg.jp</v>
      </c>
    </row>
    <row r="85" spans="2:10" x14ac:dyDescent="0.2">
      <c r="B85" s="3" t="s">
        <v>242</v>
      </c>
      <c r="C85" s="3" t="s">
        <v>243</v>
      </c>
      <c r="D85" s="3" t="s">
        <v>12</v>
      </c>
      <c r="E85" s="4">
        <v>115</v>
      </c>
      <c r="F85" s="3" t="s">
        <v>244</v>
      </c>
      <c r="G85" s="3" t="s">
        <v>14</v>
      </c>
      <c r="H85" s="3" t="s">
        <v>15</v>
      </c>
      <c r="I85" s="3" t="s">
        <v>16</v>
      </c>
      <c r="J85" s="6" t="str">
        <f>HYPERLINK("http://www.northlandsecurities.com","www.northlandsecurities.com")</f>
        <v>www.northlandsecurities.com</v>
      </c>
    </row>
    <row r="86" spans="2:10" x14ac:dyDescent="0.2">
      <c r="B86" s="5" t="s">
        <v>245</v>
      </c>
      <c r="C86" s="5" t="s">
        <v>246</v>
      </c>
      <c r="D86" s="5" t="s">
        <v>23</v>
      </c>
      <c r="E86" s="7">
        <v>7579</v>
      </c>
      <c r="F86" s="5" t="s">
        <v>24</v>
      </c>
      <c r="G86" s="5" t="s">
        <v>25</v>
      </c>
      <c r="H86" s="5" t="s">
        <v>26</v>
      </c>
      <c r="I86" s="5" t="s">
        <v>27</v>
      </c>
      <c r="J86" s="1" t="str">
        <f>HYPERLINK("http://www.nortonrosefulbright.com","www.nortonrosefulbright.com")</f>
        <v>www.nortonrosefulbright.com</v>
      </c>
    </row>
    <row r="87" spans="2:10" x14ac:dyDescent="0.2">
      <c r="B87" s="3" t="s">
        <v>247</v>
      </c>
      <c r="C87" s="3" t="s">
        <v>248</v>
      </c>
      <c r="D87" s="3" t="s">
        <v>23</v>
      </c>
      <c r="E87" s="4">
        <v>1659</v>
      </c>
      <c r="F87" s="3" t="s">
        <v>249</v>
      </c>
      <c r="G87" s="3" t="s">
        <v>250</v>
      </c>
      <c r="H87" s="3" t="s">
        <v>15</v>
      </c>
      <c r="I87" s="3" t="s">
        <v>16</v>
      </c>
      <c r="J87" s="6" t="str">
        <f>HYPERLINK("http://www.osler.com","www.osler.com")</f>
        <v>www.osler.com</v>
      </c>
    </row>
    <row r="88" spans="2:10" x14ac:dyDescent="0.2">
      <c r="B88" s="5" t="s">
        <v>251</v>
      </c>
      <c r="C88" s="5" t="s">
        <v>252</v>
      </c>
      <c r="D88" s="5" t="s">
        <v>97</v>
      </c>
      <c r="E88" s="7">
        <v>13</v>
      </c>
      <c r="F88" s="5" t="s">
        <v>93</v>
      </c>
      <c r="G88" s="5" t="s">
        <v>94</v>
      </c>
      <c r="H88" s="5" t="s">
        <v>26</v>
      </c>
      <c r="I88" s="5" t="s">
        <v>27</v>
      </c>
      <c r="J88" s="1" t="str">
        <f>HYPERLINK("http://www.raiserspartners.com","www.raiserspartners.com")</f>
        <v>www.raiserspartners.com</v>
      </c>
    </row>
    <row r="89" spans="2:10" x14ac:dyDescent="0.2">
      <c r="B89" s="3" t="s">
        <v>253</v>
      </c>
      <c r="C89" s="3" t="s">
        <v>254</v>
      </c>
      <c r="D89" s="3" t="s">
        <v>33</v>
      </c>
      <c r="E89" s="4">
        <v>93329</v>
      </c>
      <c r="F89" s="3" t="s">
        <v>249</v>
      </c>
      <c r="G89" s="3" t="s">
        <v>250</v>
      </c>
      <c r="H89" s="3" t="s">
        <v>15</v>
      </c>
      <c r="I89" s="3" t="s">
        <v>16</v>
      </c>
      <c r="J89" s="6" t="str">
        <f>HYPERLINK("http://www.scotiabank.com","www.scotiabank.com")</f>
        <v>www.scotiabank.com</v>
      </c>
    </row>
    <row r="90" spans="2:10" x14ac:dyDescent="0.2">
      <c r="B90" s="5" t="s">
        <v>255</v>
      </c>
      <c r="C90" s="5" t="s">
        <v>256</v>
      </c>
      <c r="D90" s="5" t="s">
        <v>23</v>
      </c>
      <c r="E90" s="7">
        <v>4950</v>
      </c>
      <c r="F90" s="5" t="s">
        <v>122</v>
      </c>
      <c r="G90" s="5" t="s">
        <v>14</v>
      </c>
      <c r="H90" s="5" t="s">
        <v>15</v>
      </c>
      <c r="I90" s="5" t="s">
        <v>16</v>
      </c>
      <c r="J90" s="1" t="str">
        <f>HYPERLINK("http://www.sidley.com","www.sidley.com")</f>
        <v>www.sidley.com</v>
      </c>
    </row>
    <row r="91" spans="2:10" x14ac:dyDescent="0.2">
      <c r="B91" s="3" t="s">
        <v>257</v>
      </c>
      <c r="C91" s="3" t="s">
        <v>258</v>
      </c>
      <c r="D91" s="3" t="s">
        <v>23</v>
      </c>
      <c r="E91" s="4">
        <v>51</v>
      </c>
      <c r="F91" s="3" t="s">
        <v>110</v>
      </c>
      <c r="G91" s="3" t="s">
        <v>14</v>
      </c>
      <c r="H91" s="3" t="s">
        <v>15</v>
      </c>
      <c r="I91" s="3" t="s">
        <v>16</v>
      </c>
      <c r="J91" s="6" t="str">
        <f>HYPERLINK("http://www.siliconlegal.com","www.siliconlegal.com")</f>
        <v>www.siliconlegal.com</v>
      </c>
    </row>
    <row r="92" spans="2:10" x14ac:dyDescent="0.2">
      <c r="B92" s="5" t="s">
        <v>259</v>
      </c>
      <c r="C92" s="5" t="s">
        <v>260</v>
      </c>
      <c r="D92" s="5" t="s">
        <v>23</v>
      </c>
      <c r="E92" s="7">
        <v>4635</v>
      </c>
      <c r="F92" s="5" t="s">
        <v>13</v>
      </c>
      <c r="G92" s="5" t="s">
        <v>14</v>
      </c>
      <c r="H92" s="5" t="s">
        <v>15</v>
      </c>
      <c r="I92" s="5" t="s">
        <v>16</v>
      </c>
      <c r="J92" s="1" t="str">
        <f>HYPERLINK("http://www.skadden.com","www.skadden.com")</f>
        <v>www.skadden.com</v>
      </c>
    </row>
    <row r="93" spans="2:10" x14ac:dyDescent="0.2">
      <c r="B93" s="3" t="s">
        <v>261</v>
      </c>
      <c r="C93" s="3" t="s">
        <v>262</v>
      </c>
      <c r="D93" s="3" t="s">
        <v>12</v>
      </c>
      <c r="E93" s="4">
        <v>43879</v>
      </c>
      <c r="F93" s="3" t="s">
        <v>93</v>
      </c>
      <c r="G93" s="3" t="s">
        <v>94</v>
      </c>
      <c r="H93" s="3" t="s">
        <v>26</v>
      </c>
      <c r="I93" s="3" t="s">
        <v>27</v>
      </c>
      <c r="J93" s="6" t="str">
        <f>HYPERLINK("http://www.societegenerale.com","www.societegenerale.com")</f>
        <v>www.societegenerale.com</v>
      </c>
    </row>
    <row r="94" spans="2:10" x14ac:dyDescent="0.2">
      <c r="B94" s="5" t="s">
        <v>263</v>
      </c>
      <c r="C94" s="5" t="s">
        <v>264</v>
      </c>
      <c r="D94" s="5" t="s">
        <v>97</v>
      </c>
      <c r="E94" s="7" t="s">
        <v>10</v>
      </c>
      <c r="F94" s="5" t="s">
        <v>47</v>
      </c>
      <c r="G94" s="5" t="s">
        <v>48</v>
      </c>
      <c r="H94" s="5" t="s">
        <v>49</v>
      </c>
      <c r="I94" s="5" t="s">
        <v>50</v>
      </c>
      <c r="J94" s="1" t="str">
        <f>HYPERLINK("http://www.tanamiegypt.com","www.tanamiegypt.com")</f>
        <v>www.tanamiegypt.com</v>
      </c>
    </row>
    <row r="95" spans="2:10" x14ac:dyDescent="0.2">
      <c r="B95" s="3" t="s">
        <v>265</v>
      </c>
      <c r="C95" s="3" t="s">
        <v>266</v>
      </c>
      <c r="D95" s="3" t="s">
        <v>23</v>
      </c>
      <c r="E95" s="4">
        <v>187</v>
      </c>
      <c r="F95" s="3" t="s">
        <v>267</v>
      </c>
      <c r="G95" s="3" t="s">
        <v>14</v>
      </c>
      <c r="H95" s="3" t="s">
        <v>15</v>
      </c>
      <c r="I95" s="3" t="s">
        <v>16</v>
      </c>
      <c r="J95" s="6" t="str">
        <f>HYPERLINK("http://www.wyrick.com","www.wyrick.com")</f>
        <v>www.wyrick.com</v>
      </c>
    </row>
    <row r="96" spans="2:10" x14ac:dyDescent="0.2">
      <c r="B96" s="5" t="s">
        <v>268</v>
      </c>
      <c r="C96" s="5" t="s">
        <v>269</v>
      </c>
      <c r="D96" s="5" t="s">
        <v>33</v>
      </c>
      <c r="E96" s="7" t="s">
        <v>10</v>
      </c>
      <c r="F96" s="5" t="s">
        <v>90</v>
      </c>
      <c r="G96" s="5" t="s">
        <v>84</v>
      </c>
      <c r="H96" s="5" t="s">
        <v>49</v>
      </c>
      <c r="I96" s="5" t="s">
        <v>85</v>
      </c>
      <c r="J96" s="1" t="str">
        <f>HYPERLINK("http://www.absa.co.za","www.absa.co.za")</f>
        <v>www.absa.co.za</v>
      </c>
    </row>
    <row r="97" spans="2:10" x14ac:dyDescent="0.2">
      <c r="B97" s="3" t="s">
        <v>270</v>
      </c>
      <c r="C97" s="3" t="s">
        <v>271</v>
      </c>
      <c r="D97" s="3" t="s">
        <v>23</v>
      </c>
      <c r="E97" s="4">
        <v>1775</v>
      </c>
      <c r="F97" s="3" t="s">
        <v>24</v>
      </c>
      <c r="G97" s="3" t="s">
        <v>25</v>
      </c>
      <c r="H97" s="3" t="s">
        <v>26</v>
      </c>
      <c r="I97" s="3" t="s">
        <v>27</v>
      </c>
      <c r="J97" s="6" t="str">
        <f>HYPERLINK("http://www.addleshawgoddard.com","www.addleshawgoddard.com")</f>
        <v>www.addleshawgoddard.com</v>
      </c>
    </row>
    <row r="98" spans="2:10" x14ac:dyDescent="0.2">
      <c r="B98" s="5" t="s">
        <v>272</v>
      </c>
      <c r="C98" s="5" t="s">
        <v>273</v>
      </c>
      <c r="D98" s="5" t="s">
        <v>23</v>
      </c>
      <c r="E98" s="7">
        <v>1446</v>
      </c>
      <c r="F98" s="5" t="s">
        <v>274</v>
      </c>
      <c r="G98" s="5" t="s">
        <v>275</v>
      </c>
      <c r="H98" s="5" t="s">
        <v>223</v>
      </c>
      <c r="I98" s="5" t="s">
        <v>223</v>
      </c>
      <c r="J98" s="1" t="str">
        <f>HYPERLINK("http://www.tamimi.com","www.tamimi.com")</f>
        <v>www.tamimi.com</v>
      </c>
    </row>
    <row r="99" spans="2:10" x14ac:dyDescent="0.2">
      <c r="B99" s="3" t="s">
        <v>276</v>
      </c>
      <c r="C99" s="3" t="s">
        <v>277</v>
      </c>
      <c r="D99" s="3" t="s">
        <v>30</v>
      </c>
      <c r="E99" s="4" t="s">
        <v>10</v>
      </c>
      <c r="F99" s="3" t="s">
        <v>37</v>
      </c>
      <c r="G99" s="3" t="s">
        <v>14</v>
      </c>
      <c r="H99" s="3" t="s">
        <v>15</v>
      </c>
      <c r="I99" s="3" t="s">
        <v>16</v>
      </c>
      <c r="J99" s="6" t="str">
        <f>HYPERLINK("http://www.americancapital.capital","www.americancapital.capital")</f>
        <v>www.americancapital.capital</v>
      </c>
    </row>
    <row r="100" spans="2:10" x14ac:dyDescent="0.2">
      <c r="B100" s="5" t="s">
        <v>278</v>
      </c>
      <c r="C100" s="5" t="s">
        <v>279</v>
      </c>
      <c r="D100" s="5" t="s">
        <v>12</v>
      </c>
      <c r="E100" s="7">
        <v>9</v>
      </c>
      <c r="F100" s="5" t="s">
        <v>93</v>
      </c>
      <c r="G100" s="5" t="s">
        <v>94</v>
      </c>
      <c r="H100" s="5" t="s">
        <v>26</v>
      </c>
      <c r="I100" s="5" t="s">
        <v>27</v>
      </c>
      <c r="J100" s="1" t="str">
        <f>HYPERLINK("http://home.angelsquare.co","home.angelsquare.co")</f>
        <v>home.angelsquare.co</v>
      </c>
    </row>
    <row r="101" spans="2:10" x14ac:dyDescent="0.2">
      <c r="B101" s="3" t="s">
        <v>280</v>
      </c>
      <c r="C101" s="3" t="s">
        <v>281</v>
      </c>
      <c r="D101" s="3" t="s">
        <v>12</v>
      </c>
      <c r="E101" s="4">
        <v>88</v>
      </c>
      <c r="F101" s="3" t="s">
        <v>13</v>
      </c>
      <c r="G101" s="3" t="s">
        <v>14</v>
      </c>
      <c r="H101" s="3" t="s">
        <v>15</v>
      </c>
      <c r="I101" s="3" t="s">
        <v>16</v>
      </c>
      <c r="J101" s="6" t="str">
        <f>HYPERLINK("http://www.ardeapartners.com","www.ardeapartners.com")</f>
        <v>www.ardeapartners.com</v>
      </c>
    </row>
    <row r="102" spans="2:10" x14ac:dyDescent="0.2">
      <c r="B102" s="5" t="s">
        <v>282</v>
      </c>
      <c r="C102" s="5" t="s">
        <v>283</v>
      </c>
      <c r="D102" s="5" t="s">
        <v>33</v>
      </c>
      <c r="E102" s="7">
        <v>134648</v>
      </c>
      <c r="F102" s="5" t="s">
        <v>284</v>
      </c>
      <c r="G102" s="5" t="s">
        <v>285</v>
      </c>
      <c r="H102" s="5" t="s">
        <v>26</v>
      </c>
      <c r="I102" s="5" t="s">
        <v>286</v>
      </c>
      <c r="J102" s="1" t="str">
        <f>HYPERLINK("http://www.santander.com","www.santander.com")</f>
        <v>www.santander.com</v>
      </c>
    </row>
    <row r="103" spans="2:10" x14ac:dyDescent="0.2">
      <c r="B103" s="3" t="s">
        <v>287</v>
      </c>
      <c r="C103" s="3" t="s">
        <v>288</v>
      </c>
      <c r="D103" s="3" t="s">
        <v>12</v>
      </c>
      <c r="E103" s="4">
        <v>21684</v>
      </c>
      <c r="F103" s="3" t="s">
        <v>24</v>
      </c>
      <c r="G103" s="3" t="s">
        <v>25</v>
      </c>
      <c r="H103" s="3" t="s">
        <v>26</v>
      </c>
      <c r="I103" s="3" t="s">
        <v>27</v>
      </c>
      <c r="J103" s="6" t="str">
        <f>HYPERLINK("http://www.ib.barclays","www.ib.barclays")</f>
        <v>www.ib.barclays</v>
      </c>
    </row>
    <row r="104" spans="2:10" x14ac:dyDescent="0.2">
      <c r="B104" s="5" t="s">
        <v>289</v>
      </c>
      <c r="C104" s="5" t="s">
        <v>290</v>
      </c>
      <c r="D104" s="5" t="s">
        <v>44</v>
      </c>
      <c r="E104" s="7">
        <v>1800</v>
      </c>
      <c r="F104" s="5" t="s">
        <v>90</v>
      </c>
      <c r="G104" s="5" t="s">
        <v>84</v>
      </c>
      <c r="H104" s="5" t="s">
        <v>49</v>
      </c>
      <c r="I104" s="5" t="s">
        <v>85</v>
      </c>
      <c r="J104" s="1" t="str">
        <f>HYPERLINK("http://www.bdo.co.za","www.bdo.co.za")</f>
        <v>www.bdo.co.za</v>
      </c>
    </row>
    <row r="105" spans="2:10" x14ac:dyDescent="0.2">
      <c r="B105" s="3" t="s">
        <v>291</v>
      </c>
      <c r="C105" s="3" t="s">
        <v>292</v>
      </c>
      <c r="D105" s="3" t="s">
        <v>30</v>
      </c>
      <c r="E105" s="4">
        <v>96</v>
      </c>
      <c r="F105" s="3" t="s">
        <v>293</v>
      </c>
      <c r="G105" s="3" t="s">
        <v>294</v>
      </c>
      <c r="H105" s="3" t="s">
        <v>26</v>
      </c>
      <c r="I105" s="3" t="s">
        <v>27</v>
      </c>
      <c r="J105" s="6" t="str">
        <f>HYPERLINK("http://www.bio-invest.be","www.bio-invest.be")</f>
        <v>www.bio-invest.be</v>
      </c>
    </row>
    <row r="106" spans="2:10" x14ac:dyDescent="0.2">
      <c r="B106" s="5" t="s">
        <v>295</v>
      </c>
      <c r="C106" s="5" t="s">
        <v>296</v>
      </c>
      <c r="D106" s="5" t="s">
        <v>12</v>
      </c>
      <c r="E106" s="7">
        <v>698</v>
      </c>
      <c r="F106" s="5" t="s">
        <v>47</v>
      </c>
      <c r="G106" s="5" t="s">
        <v>48</v>
      </c>
      <c r="H106" s="5" t="s">
        <v>49</v>
      </c>
      <c r="I106" s="5" t="s">
        <v>50</v>
      </c>
      <c r="J106" s="1" t="str">
        <f>HYPERLINK("http://www.beltoneholding.com","www.beltoneholding.com")</f>
        <v>www.beltoneholding.com</v>
      </c>
    </row>
    <row r="107" spans="2:10" x14ac:dyDescent="0.2">
      <c r="B107" s="3" t="s">
        <v>297</v>
      </c>
      <c r="C107" s="3" t="s">
        <v>298</v>
      </c>
      <c r="D107" s="3" t="s">
        <v>30</v>
      </c>
      <c r="E107" s="4">
        <v>1340</v>
      </c>
      <c r="F107" s="3" t="s">
        <v>13</v>
      </c>
      <c r="G107" s="3" t="s">
        <v>14</v>
      </c>
      <c r="H107" s="3" t="s">
        <v>15</v>
      </c>
      <c r="I107" s="3" t="s">
        <v>16</v>
      </c>
      <c r="J107" s="6" t="str">
        <f>HYPERLINK("http://www.blueowl.com","www.blueowl.com")</f>
        <v>www.blueowl.com</v>
      </c>
    </row>
    <row r="108" spans="2:10" x14ac:dyDescent="0.2">
      <c r="B108" s="5" t="s">
        <v>299</v>
      </c>
      <c r="C108" s="5" t="s">
        <v>300</v>
      </c>
      <c r="D108" s="5" t="s">
        <v>12</v>
      </c>
      <c r="E108" s="7">
        <v>17131</v>
      </c>
      <c r="F108" s="5" t="s">
        <v>73</v>
      </c>
      <c r="G108" s="5" t="s">
        <v>14</v>
      </c>
      <c r="H108" s="5" t="s">
        <v>15</v>
      </c>
      <c r="I108" s="5" t="s">
        <v>16</v>
      </c>
      <c r="J108" s="1" t="str">
        <f>HYPERLINK("http://business.bofa.com","business.bofa.com")</f>
        <v>business.bofa.com</v>
      </c>
    </row>
    <row r="109" spans="2:10" x14ac:dyDescent="0.2">
      <c r="B109" s="3" t="s">
        <v>301</v>
      </c>
      <c r="C109" s="3" t="s">
        <v>302</v>
      </c>
      <c r="D109" s="3" t="s">
        <v>23</v>
      </c>
      <c r="E109" s="4">
        <v>1378</v>
      </c>
      <c r="F109" s="3" t="s">
        <v>90</v>
      </c>
      <c r="G109" s="3" t="s">
        <v>84</v>
      </c>
      <c r="H109" s="3" t="s">
        <v>49</v>
      </c>
      <c r="I109" s="3" t="s">
        <v>85</v>
      </c>
      <c r="J109" s="6" t="str">
        <f>HYPERLINK("http://www.bowmanslaw.com","www.bowmanslaw.com")</f>
        <v>www.bowmanslaw.com</v>
      </c>
    </row>
    <row r="110" spans="2:10" x14ac:dyDescent="0.2">
      <c r="B110" s="5" t="s">
        <v>303</v>
      </c>
      <c r="C110" s="5" t="s">
        <v>304</v>
      </c>
      <c r="D110" s="5" t="s">
        <v>12</v>
      </c>
      <c r="E110" s="7">
        <v>54</v>
      </c>
      <c r="F110" s="5" t="s">
        <v>90</v>
      </c>
      <c r="G110" s="5" t="s">
        <v>84</v>
      </c>
      <c r="H110" s="5" t="s">
        <v>49</v>
      </c>
      <c r="I110" s="5" t="s">
        <v>85</v>
      </c>
      <c r="J110" s="1" t="str">
        <f>HYPERLINK("http://www.bravura.net","www.bravura.net")</f>
        <v>www.bravura.net</v>
      </c>
    </row>
    <row r="111" spans="2:10" x14ac:dyDescent="0.2">
      <c r="B111" s="3" t="s">
        <v>305</v>
      </c>
      <c r="C111" s="3" t="s">
        <v>306</v>
      </c>
      <c r="D111" s="3" t="s">
        <v>12</v>
      </c>
      <c r="E111" s="4">
        <v>11</v>
      </c>
      <c r="F111" s="3" t="s">
        <v>307</v>
      </c>
      <c r="G111" s="3" t="s">
        <v>308</v>
      </c>
      <c r="H111" s="3" t="s">
        <v>49</v>
      </c>
      <c r="I111" s="3" t="s">
        <v>58</v>
      </c>
      <c r="J111" s="6" t="str">
        <f>HYPERLINK("http://www.bridgewatergh.com","www.bridgewatergh.com")</f>
        <v>www.bridgewatergh.com</v>
      </c>
    </row>
    <row r="112" spans="2:10" x14ac:dyDescent="0.2">
      <c r="B112" s="5" t="s">
        <v>309</v>
      </c>
      <c r="C112" s="5" t="s">
        <v>310</v>
      </c>
      <c r="D112" s="5" t="s">
        <v>12</v>
      </c>
      <c r="E112" s="7">
        <v>965</v>
      </c>
      <c r="F112" s="5" t="s">
        <v>249</v>
      </c>
      <c r="G112" s="5" t="s">
        <v>250</v>
      </c>
      <c r="H112" s="5" t="s">
        <v>15</v>
      </c>
      <c r="I112" s="5" t="s">
        <v>16</v>
      </c>
      <c r="J112" s="1" t="str">
        <f>HYPERLINK("http://www.canaccordgenuity.com","www.canaccordgenuity.com")</f>
        <v>www.canaccordgenuity.com</v>
      </c>
    </row>
    <row r="113" spans="2:10" x14ac:dyDescent="0.2">
      <c r="B113" s="3" t="s">
        <v>311</v>
      </c>
      <c r="C113" s="3" t="s">
        <v>312</v>
      </c>
      <c r="D113" s="3" t="s">
        <v>23</v>
      </c>
      <c r="E113" s="4">
        <v>635</v>
      </c>
      <c r="F113" s="3" t="s">
        <v>313</v>
      </c>
      <c r="G113" s="3" t="s">
        <v>314</v>
      </c>
      <c r="H113" s="3" t="s">
        <v>15</v>
      </c>
      <c r="I113" s="3" t="s">
        <v>16</v>
      </c>
      <c r="J113" s="6" t="str">
        <f>HYPERLINK("http://www.conyers.com","www.conyers.com")</f>
        <v>www.conyers.com</v>
      </c>
    </row>
    <row r="114" spans="2:10" x14ac:dyDescent="0.2">
      <c r="B114" s="5" t="s">
        <v>315</v>
      </c>
      <c r="C114" s="5" t="s">
        <v>316</v>
      </c>
      <c r="D114" s="5" t="s">
        <v>23</v>
      </c>
      <c r="E114" s="7">
        <v>3301</v>
      </c>
      <c r="F114" s="5" t="s">
        <v>117</v>
      </c>
      <c r="G114" s="5" t="s">
        <v>14</v>
      </c>
      <c r="H114" s="5" t="s">
        <v>15</v>
      </c>
      <c r="I114" s="5" t="s">
        <v>16</v>
      </c>
      <c r="J114" s="1" t="str">
        <f>HYPERLINK("http://www.cooley.com","www.cooley.com")</f>
        <v>www.cooley.com</v>
      </c>
    </row>
    <row r="115" spans="2:10" x14ac:dyDescent="0.2">
      <c r="B115" s="3" t="s">
        <v>317</v>
      </c>
      <c r="C115" s="3" t="s">
        <v>318</v>
      </c>
      <c r="D115" s="3" t="s">
        <v>23</v>
      </c>
      <c r="E115" s="4">
        <v>2537</v>
      </c>
      <c r="F115" s="3" t="s">
        <v>13</v>
      </c>
      <c r="G115" s="3" t="s">
        <v>14</v>
      </c>
      <c r="H115" s="3" t="s">
        <v>15</v>
      </c>
      <c r="I115" s="3" t="s">
        <v>16</v>
      </c>
      <c r="J115" s="6" t="str">
        <f>HYPERLINK("http://www.davispolk.com","www.davispolk.com")</f>
        <v>www.davispolk.com</v>
      </c>
    </row>
    <row r="116" spans="2:10" x14ac:dyDescent="0.2">
      <c r="B116" s="5" t="s">
        <v>319</v>
      </c>
      <c r="C116" s="5" t="s">
        <v>320</v>
      </c>
      <c r="D116" s="5" t="s">
        <v>195</v>
      </c>
      <c r="E116" s="7">
        <v>817</v>
      </c>
      <c r="F116" s="5" t="s">
        <v>321</v>
      </c>
      <c r="G116" s="5" t="s">
        <v>64</v>
      </c>
      <c r="H116" s="5" t="s">
        <v>26</v>
      </c>
      <c r="I116" s="5" t="s">
        <v>27</v>
      </c>
      <c r="J116" s="1" t="str">
        <f>HYPERLINK("http://www.deginvest.de","www.deginvest.de")</f>
        <v>www.deginvest.de</v>
      </c>
    </row>
    <row r="117" spans="2:10" x14ac:dyDescent="0.2">
      <c r="B117" s="3" t="s">
        <v>322</v>
      </c>
      <c r="C117" s="3" t="s">
        <v>323</v>
      </c>
      <c r="D117" s="3" t="s">
        <v>12</v>
      </c>
      <c r="E117" s="4">
        <v>7</v>
      </c>
      <c r="F117" s="3" t="s">
        <v>145</v>
      </c>
      <c r="G117" s="3" t="s">
        <v>146</v>
      </c>
      <c r="H117" s="3" t="s">
        <v>49</v>
      </c>
      <c r="I117" s="3" t="s">
        <v>50</v>
      </c>
      <c r="J117" s="6" t="str">
        <f>HYPERLINK("http://www.derenia.com","www.derenia.com")</f>
        <v>www.derenia.com</v>
      </c>
    </row>
    <row r="118" spans="2:10" x14ac:dyDescent="0.2">
      <c r="B118" s="5" t="s">
        <v>324</v>
      </c>
      <c r="C118" s="5" t="s">
        <v>325</v>
      </c>
      <c r="D118" s="5" t="s">
        <v>23</v>
      </c>
      <c r="E118" s="7">
        <v>1667</v>
      </c>
      <c r="F118" s="5" t="s">
        <v>244</v>
      </c>
      <c r="G118" s="5" t="s">
        <v>14</v>
      </c>
      <c r="H118" s="5" t="s">
        <v>15</v>
      </c>
      <c r="I118" s="5" t="s">
        <v>16</v>
      </c>
      <c r="J118" s="1" t="str">
        <f>HYPERLINK("http://www.dorsey.com","www.dorsey.com")</f>
        <v>www.dorsey.com</v>
      </c>
    </row>
    <row r="119" spans="2:10" x14ac:dyDescent="0.2">
      <c r="B119" s="3" t="s">
        <v>326</v>
      </c>
      <c r="C119" s="3" t="s">
        <v>327</v>
      </c>
      <c r="D119" s="3" t="s">
        <v>12</v>
      </c>
      <c r="E119" s="4">
        <v>51</v>
      </c>
      <c r="F119" s="3" t="s">
        <v>13</v>
      </c>
      <c r="G119" s="3" t="s">
        <v>14</v>
      </c>
      <c r="H119" s="3" t="s">
        <v>15</v>
      </c>
      <c r="I119" s="3" t="s">
        <v>16</v>
      </c>
      <c r="J119" s="6" t="str">
        <f>HYPERLINK("http://www.drexelhamilton.com","www.drexelhamilton.com")</f>
        <v>www.drexelhamilton.com</v>
      </c>
    </row>
    <row r="120" spans="2:10" x14ac:dyDescent="0.2">
      <c r="B120" s="5" t="s">
        <v>328</v>
      </c>
      <c r="C120" s="5" t="s">
        <v>329</v>
      </c>
      <c r="D120" s="5" t="s">
        <v>23</v>
      </c>
      <c r="E120" s="7">
        <v>6112</v>
      </c>
      <c r="F120" s="5" t="s">
        <v>24</v>
      </c>
      <c r="G120" s="5" t="s">
        <v>25</v>
      </c>
      <c r="H120" s="5" t="s">
        <v>26</v>
      </c>
      <c r="I120" s="5" t="s">
        <v>27</v>
      </c>
      <c r="J120" s="1" t="str">
        <f>HYPERLINK("http://www.eversheds-sutherland.com","www.eversheds-sutherland.com")</f>
        <v>www.eversheds-sutherland.com</v>
      </c>
    </row>
    <row r="121" spans="2:10" x14ac:dyDescent="0.2">
      <c r="B121" s="3" t="s">
        <v>330</v>
      </c>
      <c r="C121" s="3" t="s">
        <v>10</v>
      </c>
      <c r="D121" s="3" t="s">
        <v>331</v>
      </c>
      <c r="E121" s="4" t="s">
        <v>10</v>
      </c>
      <c r="F121" s="3" t="s">
        <v>332</v>
      </c>
      <c r="G121" s="3" t="s">
        <v>14</v>
      </c>
      <c r="H121" s="3" t="s">
        <v>15</v>
      </c>
      <c r="I121" s="3" t="s">
        <v>16</v>
      </c>
      <c r="J121" s="6" t="str">
        <f>HYPERLINK("http://www.exterapartners.com","www.exterapartners.com")</f>
        <v>www.exterapartners.com</v>
      </c>
    </row>
    <row r="122" spans="2:10" x14ac:dyDescent="0.2">
      <c r="B122" s="5" t="s">
        <v>333</v>
      </c>
      <c r="C122" s="5" t="s">
        <v>334</v>
      </c>
      <c r="D122" s="5" t="s">
        <v>30</v>
      </c>
      <c r="E122" s="7">
        <v>106</v>
      </c>
      <c r="F122" s="5" t="s">
        <v>335</v>
      </c>
      <c r="G122" s="5" t="s">
        <v>336</v>
      </c>
      <c r="H122" s="5" t="s">
        <v>26</v>
      </c>
      <c r="I122" s="5" t="s">
        <v>181</v>
      </c>
      <c r="J122" s="1" t="str">
        <f>HYPERLINK("http://www.finnfund.fi","www.finnfund.fi")</f>
        <v>www.finnfund.fi</v>
      </c>
    </row>
    <row r="123" spans="2:10" x14ac:dyDescent="0.2">
      <c r="B123" s="3" t="s">
        <v>337</v>
      </c>
      <c r="C123" s="3" t="s">
        <v>10</v>
      </c>
      <c r="D123" s="3" t="s">
        <v>338</v>
      </c>
      <c r="E123" s="4" t="s">
        <v>10</v>
      </c>
      <c r="F123" s="3" t="s">
        <v>145</v>
      </c>
      <c r="G123" s="3" t="s">
        <v>146</v>
      </c>
      <c r="H123" s="3" t="s">
        <v>49</v>
      </c>
      <c r="I123" s="3" t="s">
        <v>50</v>
      </c>
      <c r="J123" s="6" t="str">
        <f>HYPERLINK("http://ftrustcapital.com","ftrustcapital.com")</f>
        <v>ftrustcapital.com</v>
      </c>
    </row>
    <row r="124" spans="2:10" x14ac:dyDescent="0.2">
      <c r="B124" s="5" t="s">
        <v>339</v>
      </c>
      <c r="C124" s="5" t="s">
        <v>10</v>
      </c>
      <c r="D124" s="5" t="s">
        <v>97</v>
      </c>
      <c r="E124" s="7" t="s">
        <v>10</v>
      </c>
      <c r="F124" s="5" t="s">
        <v>210</v>
      </c>
      <c r="G124" s="5" t="s">
        <v>48</v>
      </c>
      <c r="H124" s="5" t="s">
        <v>49</v>
      </c>
      <c r="I124" s="5" t="s">
        <v>50</v>
      </c>
      <c r="J124" s="1" t="str">
        <f>HYPERLINK("http://www.firstcapital.net","www.firstcapital.net")</f>
        <v>www.firstcapital.net</v>
      </c>
    </row>
    <row r="125" spans="2:10" x14ac:dyDescent="0.2">
      <c r="B125" s="3" t="s">
        <v>340</v>
      </c>
      <c r="C125" s="3" t="s">
        <v>341</v>
      </c>
      <c r="D125" s="3" t="s">
        <v>23</v>
      </c>
      <c r="E125" s="4">
        <v>108</v>
      </c>
      <c r="F125" s="3" t="s">
        <v>90</v>
      </c>
      <c r="G125" s="3" t="s">
        <v>84</v>
      </c>
      <c r="H125" s="3" t="s">
        <v>49</v>
      </c>
      <c r="I125" s="3" t="s">
        <v>85</v>
      </c>
      <c r="J125" s="6" t="str">
        <f>HYPERLINK("http://www.fluxmans.com","www.fluxmans.com")</f>
        <v>www.fluxmans.com</v>
      </c>
    </row>
    <row r="126" spans="2:10" x14ac:dyDescent="0.2">
      <c r="B126" s="5" t="s">
        <v>342</v>
      </c>
      <c r="C126" s="5" t="s">
        <v>343</v>
      </c>
      <c r="D126" s="5" t="s">
        <v>23</v>
      </c>
      <c r="E126" s="7">
        <v>2834</v>
      </c>
      <c r="F126" s="5" t="s">
        <v>122</v>
      </c>
      <c r="G126" s="5" t="s">
        <v>14</v>
      </c>
      <c r="H126" s="5" t="s">
        <v>15</v>
      </c>
      <c r="I126" s="5" t="s">
        <v>16</v>
      </c>
      <c r="J126" s="1" t="str">
        <f>HYPERLINK("http://www.foley.com","www.foley.com")</f>
        <v>www.foley.com</v>
      </c>
    </row>
    <row r="127" spans="2:10" x14ac:dyDescent="0.2">
      <c r="B127" s="3" t="s">
        <v>344</v>
      </c>
      <c r="C127" s="3" t="s">
        <v>345</v>
      </c>
      <c r="D127" s="3" t="s">
        <v>97</v>
      </c>
      <c r="E127" s="4" t="s">
        <v>10</v>
      </c>
      <c r="F127" s="3" t="s">
        <v>24</v>
      </c>
      <c r="G127" s="3" t="s">
        <v>25</v>
      </c>
      <c r="H127" s="3" t="s">
        <v>26</v>
      </c>
      <c r="I127" s="3" t="s">
        <v>27</v>
      </c>
      <c r="J127" s="6" t="str">
        <f>HYPERLINK("http://www.litmusadvisory.com","www.litmusadvisory.com")</f>
        <v>www.litmusadvisory.com</v>
      </c>
    </row>
    <row r="128" spans="2:10" x14ac:dyDescent="0.2">
      <c r="B128" s="5" t="s">
        <v>346</v>
      </c>
      <c r="C128" s="5" t="s">
        <v>347</v>
      </c>
      <c r="D128" s="5" t="s">
        <v>97</v>
      </c>
      <c r="E128" s="7">
        <v>18</v>
      </c>
      <c r="F128" s="5" t="s">
        <v>24</v>
      </c>
      <c r="G128" s="5" t="s">
        <v>25</v>
      </c>
      <c r="H128" s="5" t="s">
        <v>26</v>
      </c>
      <c r="I128" s="5" t="s">
        <v>27</v>
      </c>
      <c r="J128" s="1" t="str">
        <f>HYPERLINK("http://www.gambitcf.com","www.gambitcf.com")</f>
        <v>www.gambitcf.com</v>
      </c>
    </row>
    <row r="129" spans="2:10" x14ac:dyDescent="0.2">
      <c r="B129" s="3" t="s">
        <v>348</v>
      </c>
      <c r="C129" s="3" t="s">
        <v>349</v>
      </c>
      <c r="D129" s="3" t="s">
        <v>350</v>
      </c>
      <c r="E129" s="4" t="s">
        <v>10</v>
      </c>
      <c r="F129" s="3" t="s">
        <v>351</v>
      </c>
      <c r="G129" s="3" t="s">
        <v>84</v>
      </c>
      <c r="H129" s="3" t="s">
        <v>49</v>
      </c>
      <c r="I129" s="3" t="s">
        <v>85</v>
      </c>
      <c r="J129" s="6" t="str">
        <f>HYPERLINK("http://www.garudacapital.co.za","www.garudacapital.co.za")</f>
        <v>www.garudacapital.co.za</v>
      </c>
    </row>
    <row r="130" spans="2:10" x14ac:dyDescent="0.2">
      <c r="B130" s="5" t="s">
        <v>352</v>
      </c>
      <c r="C130" s="5" t="s">
        <v>353</v>
      </c>
      <c r="D130" s="5" t="s">
        <v>23</v>
      </c>
      <c r="E130" s="7">
        <v>375</v>
      </c>
      <c r="F130" s="5" t="s">
        <v>354</v>
      </c>
      <c r="G130" s="5" t="s">
        <v>355</v>
      </c>
      <c r="H130" s="5" t="s">
        <v>223</v>
      </c>
      <c r="I130" s="5" t="s">
        <v>223</v>
      </c>
      <c r="J130" s="1" t="str">
        <f>HYPERLINK("http://www.gornitzky.com","www.gornitzky.com")</f>
        <v>www.gornitzky.com</v>
      </c>
    </row>
    <row r="131" spans="2:10" x14ac:dyDescent="0.2">
      <c r="B131" s="3" t="s">
        <v>356</v>
      </c>
      <c r="C131" s="3" t="s">
        <v>357</v>
      </c>
      <c r="D131" s="3" t="s">
        <v>12</v>
      </c>
      <c r="E131" s="4">
        <v>38</v>
      </c>
      <c r="F131" s="3" t="s">
        <v>24</v>
      </c>
      <c r="G131" s="3" t="s">
        <v>25</v>
      </c>
      <c r="H131" s="3" t="s">
        <v>26</v>
      </c>
      <c r="I131" s="3" t="s">
        <v>27</v>
      </c>
      <c r="J131" s="6" t="str">
        <f>HYPERLINK("http://www.hannam.partners","www.hannam.partners")</f>
        <v>www.hannam.partners</v>
      </c>
    </row>
    <row r="132" spans="2:10" x14ac:dyDescent="0.2">
      <c r="B132" s="5" t="s">
        <v>358</v>
      </c>
      <c r="C132" s="5" t="s">
        <v>359</v>
      </c>
      <c r="D132" s="5" t="s">
        <v>30</v>
      </c>
      <c r="E132" s="7">
        <v>5</v>
      </c>
      <c r="F132" s="5" t="s">
        <v>360</v>
      </c>
      <c r="G132" s="5" t="s">
        <v>64</v>
      </c>
      <c r="H132" s="5" t="s">
        <v>26</v>
      </c>
      <c r="I132" s="5" t="s">
        <v>27</v>
      </c>
      <c r="J132" s="1" t="str">
        <f>HYPERLINK("http://www.hf-debt.com","www.hf-debt.com")</f>
        <v>www.hf-debt.com</v>
      </c>
    </row>
    <row r="133" spans="2:10" x14ac:dyDescent="0.2">
      <c r="B133" s="3" t="s">
        <v>361</v>
      </c>
      <c r="C133" s="3" t="s">
        <v>362</v>
      </c>
      <c r="D133" s="3" t="s">
        <v>12</v>
      </c>
      <c r="E133" s="4" t="s">
        <v>10</v>
      </c>
      <c r="F133" s="3" t="s">
        <v>249</v>
      </c>
      <c r="G133" s="3" t="s">
        <v>250</v>
      </c>
      <c r="H133" s="3" t="s">
        <v>15</v>
      </c>
      <c r="I133" s="3" t="s">
        <v>16</v>
      </c>
      <c r="J133" s="3" t="s">
        <v>10</v>
      </c>
    </row>
    <row r="134" spans="2:10" x14ac:dyDescent="0.2">
      <c r="B134" s="5" t="s">
        <v>363</v>
      </c>
      <c r="C134" s="5" t="s">
        <v>364</v>
      </c>
      <c r="D134" s="5" t="s">
        <v>189</v>
      </c>
      <c r="E134" s="7" t="s">
        <v>10</v>
      </c>
      <c r="F134" s="5" t="s">
        <v>351</v>
      </c>
      <c r="G134" s="5" t="s">
        <v>84</v>
      </c>
      <c r="H134" s="5" t="s">
        <v>49</v>
      </c>
      <c r="I134" s="5" t="s">
        <v>85</v>
      </c>
      <c r="J134" s="1" t="str">
        <f>HYPERLINK("http://www.idc.co.za","www.idc.co.za")</f>
        <v>www.idc.co.za</v>
      </c>
    </row>
    <row r="135" spans="2:10" x14ac:dyDescent="0.2">
      <c r="B135" s="3" t="s">
        <v>365</v>
      </c>
      <c r="C135" s="3" t="s">
        <v>366</v>
      </c>
      <c r="D135" s="3" t="s">
        <v>97</v>
      </c>
      <c r="E135" s="4" t="s">
        <v>10</v>
      </c>
      <c r="F135" s="3" t="s">
        <v>47</v>
      </c>
      <c r="G135" s="3" t="s">
        <v>48</v>
      </c>
      <c r="H135" s="3" t="s">
        <v>49</v>
      </c>
      <c r="I135" s="3" t="s">
        <v>50</v>
      </c>
      <c r="J135" s="6" t="str">
        <f>HYPERLINK("http://www.iway.com.eg","www.iway.com.eg")</f>
        <v>www.iway.com.eg</v>
      </c>
    </row>
    <row r="136" spans="2:10" x14ac:dyDescent="0.2">
      <c r="B136" s="5" t="s">
        <v>367</v>
      </c>
      <c r="C136" s="5" t="s">
        <v>368</v>
      </c>
      <c r="D136" s="5" t="s">
        <v>97</v>
      </c>
      <c r="E136" s="7" t="s">
        <v>10</v>
      </c>
      <c r="F136" s="5" t="s">
        <v>13</v>
      </c>
      <c r="G136" s="5" t="s">
        <v>14</v>
      </c>
      <c r="H136" s="5" t="s">
        <v>15</v>
      </c>
      <c r="I136" s="5" t="s">
        <v>16</v>
      </c>
      <c r="J136" s="1" t="str">
        <f>HYPERLINK("http://www.jpmorganwealthmanagement.com","www.jpmorganwealthmanagement.com")</f>
        <v>www.jpmorganwealthmanagement.com</v>
      </c>
    </row>
    <row r="137" spans="2:10" x14ac:dyDescent="0.2">
      <c r="B137" s="3" t="s">
        <v>369</v>
      </c>
      <c r="C137" s="3" t="s">
        <v>370</v>
      </c>
      <c r="D137" s="3" t="s">
        <v>97</v>
      </c>
      <c r="E137" s="4">
        <v>26</v>
      </c>
      <c r="F137" s="3" t="s">
        <v>351</v>
      </c>
      <c r="G137" s="3" t="s">
        <v>84</v>
      </c>
      <c r="H137" s="3" t="s">
        <v>49</v>
      </c>
      <c r="I137" s="3" t="s">
        <v>85</v>
      </c>
      <c r="J137" s="6" t="str">
        <f>HYPERLINK("http://www.javacapital.co.za","www.javacapital.co.za")</f>
        <v>www.javacapital.co.za</v>
      </c>
    </row>
    <row r="138" spans="2:10" x14ac:dyDescent="0.2">
      <c r="B138" s="5" t="s">
        <v>371</v>
      </c>
      <c r="C138" s="5" t="s">
        <v>10</v>
      </c>
      <c r="D138" s="5" t="s">
        <v>44</v>
      </c>
      <c r="E138" s="7" t="s">
        <v>10</v>
      </c>
      <c r="F138" s="5" t="s">
        <v>47</v>
      </c>
      <c r="G138" s="5" t="s">
        <v>48</v>
      </c>
      <c r="H138" s="5" t="s">
        <v>49</v>
      </c>
      <c r="I138" s="5" t="s">
        <v>50</v>
      </c>
      <c r="J138" s="1" t="str">
        <f>HYPERLINK("http://www.keg-co.com","www.keg-co.com")</f>
        <v>www.keg-co.com</v>
      </c>
    </row>
    <row r="139" spans="2:10" x14ac:dyDescent="0.2">
      <c r="B139" s="3" t="s">
        <v>372</v>
      </c>
      <c r="C139" s="3" t="s">
        <v>373</v>
      </c>
      <c r="D139" s="3" t="s">
        <v>97</v>
      </c>
      <c r="E139" s="4">
        <v>6645</v>
      </c>
      <c r="F139" s="3" t="s">
        <v>13</v>
      </c>
      <c r="G139" s="3" t="s">
        <v>14</v>
      </c>
      <c r="H139" s="3" t="s">
        <v>15</v>
      </c>
      <c r="I139" s="3" t="s">
        <v>16</v>
      </c>
      <c r="J139" s="6" t="str">
        <f>HYPERLINK("http://www.kroll.com","www.kroll.com")</f>
        <v>www.kroll.com</v>
      </c>
    </row>
    <row r="140" spans="2:10" x14ac:dyDescent="0.2">
      <c r="B140" s="5" t="s">
        <v>374</v>
      </c>
      <c r="C140" s="5" t="s">
        <v>375</v>
      </c>
      <c r="D140" s="5" t="s">
        <v>97</v>
      </c>
      <c r="E140" s="7">
        <v>5045</v>
      </c>
      <c r="F140" s="5" t="s">
        <v>13</v>
      </c>
      <c r="G140" s="5" t="s">
        <v>14</v>
      </c>
      <c r="H140" s="5" t="s">
        <v>15</v>
      </c>
      <c r="I140" s="5" t="s">
        <v>16</v>
      </c>
      <c r="J140" s="1" t="str">
        <f>HYPERLINK("http://www.lazard.com","www.lazard.com")</f>
        <v>www.lazard.com</v>
      </c>
    </row>
    <row r="141" spans="2:10" x14ac:dyDescent="0.2">
      <c r="B141" s="3" t="s">
        <v>376</v>
      </c>
      <c r="C141" s="3" t="s">
        <v>377</v>
      </c>
      <c r="D141" s="3" t="s">
        <v>23</v>
      </c>
      <c r="E141" s="4">
        <v>35</v>
      </c>
      <c r="F141" s="3" t="s">
        <v>24</v>
      </c>
      <c r="G141" s="3" t="s">
        <v>25</v>
      </c>
      <c r="H141" s="3" t="s">
        <v>26</v>
      </c>
      <c r="I141" s="3" t="s">
        <v>27</v>
      </c>
      <c r="J141" s="6" t="str">
        <f>HYPERLINK("http://www.levarilaw.com","www.levarilaw.com")</f>
        <v>www.levarilaw.com</v>
      </c>
    </row>
    <row r="142" spans="2:10" x14ac:dyDescent="0.2">
      <c r="B142" s="5" t="s">
        <v>378</v>
      </c>
      <c r="C142" s="5" t="s">
        <v>379</v>
      </c>
      <c r="D142" s="5" t="s">
        <v>97</v>
      </c>
      <c r="E142" s="7">
        <v>10</v>
      </c>
      <c r="F142" s="5" t="s">
        <v>380</v>
      </c>
      <c r="G142" s="5" t="s">
        <v>84</v>
      </c>
      <c r="H142" s="5" t="s">
        <v>49</v>
      </c>
      <c r="I142" s="5" t="s">
        <v>85</v>
      </c>
      <c r="J142" s="1" t="str">
        <f>HYPERLINK("http://www.liquidafrica.com","www.liquidafrica.com")</f>
        <v>www.liquidafrica.com</v>
      </c>
    </row>
    <row r="143" spans="2:10" x14ac:dyDescent="0.2">
      <c r="B143" s="3" t="s">
        <v>381</v>
      </c>
      <c r="C143" s="3" t="s">
        <v>382</v>
      </c>
      <c r="D143" s="3" t="s">
        <v>44</v>
      </c>
      <c r="E143" s="4">
        <v>8963</v>
      </c>
      <c r="F143" s="3" t="s">
        <v>383</v>
      </c>
      <c r="G143" s="3" t="s">
        <v>250</v>
      </c>
      <c r="H143" s="3" t="s">
        <v>15</v>
      </c>
      <c r="I143" s="3" t="s">
        <v>16</v>
      </c>
      <c r="J143" s="6" t="str">
        <f>HYPERLINK("http://www.mnp.ca","www.mnp.ca")</f>
        <v>www.mnp.ca</v>
      </c>
    </row>
    <row r="144" spans="2:10" x14ac:dyDescent="0.2">
      <c r="B144" s="5" t="s">
        <v>384</v>
      </c>
      <c r="C144" s="5" t="s">
        <v>385</v>
      </c>
      <c r="D144" s="5" t="s">
        <v>12</v>
      </c>
      <c r="E144" s="7">
        <v>15445</v>
      </c>
      <c r="F144" s="5" t="s">
        <v>234</v>
      </c>
      <c r="G144" s="5" t="s">
        <v>235</v>
      </c>
      <c r="H144" s="5" t="s">
        <v>236</v>
      </c>
      <c r="I144" s="5" t="s">
        <v>237</v>
      </c>
      <c r="J144" s="1" t="str">
        <f>HYPERLINK("http://www.nomura.com","www.nomura.com")</f>
        <v>www.nomura.com</v>
      </c>
    </row>
    <row r="145" spans="2:10" x14ac:dyDescent="0.2">
      <c r="B145" s="3" t="s">
        <v>386</v>
      </c>
      <c r="C145" s="3" t="s">
        <v>387</v>
      </c>
      <c r="D145" s="3" t="s">
        <v>12</v>
      </c>
      <c r="E145" s="4">
        <v>3262</v>
      </c>
      <c r="F145" s="3" t="s">
        <v>13</v>
      </c>
      <c r="G145" s="3" t="s">
        <v>14</v>
      </c>
      <c r="H145" s="3" t="s">
        <v>15</v>
      </c>
      <c r="I145" s="3" t="s">
        <v>16</v>
      </c>
      <c r="J145" s="6" t="str">
        <f>HYPERLINK("http://www.oppenheimer.com","www.oppenheimer.com")</f>
        <v>www.oppenheimer.com</v>
      </c>
    </row>
    <row r="146" spans="2:10" x14ac:dyDescent="0.2">
      <c r="B146" s="5" t="s">
        <v>388</v>
      </c>
      <c r="C146" s="5" t="s">
        <v>389</v>
      </c>
      <c r="D146" s="5" t="s">
        <v>30</v>
      </c>
      <c r="E146" s="7">
        <v>90</v>
      </c>
      <c r="F146" s="5" t="s">
        <v>390</v>
      </c>
      <c r="G146" s="5" t="s">
        <v>14</v>
      </c>
      <c r="H146" s="5" t="s">
        <v>15</v>
      </c>
      <c r="I146" s="5" t="s">
        <v>16</v>
      </c>
      <c r="J146" s="1" t="str">
        <f>HYPERLINK("http://www.oxfordfinance.com","www.oxfordfinance.com")</f>
        <v>www.oxfordfinance.com</v>
      </c>
    </row>
    <row r="147" spans="2:10" x14ac:dyDescent="0.2">
      <c r="B147" s="3" t="s">
        <v>391</v>
      </c>
      <c r="C147" s="3" t="s">
        <v>392</v>
      </c>
      <c r="D147" s="3" t="s">
        <v>30</v>
      </c>
      <c r="E147" s="4">
        <v>15</v>
      </c>
      <c r="F147" s="3" t="s">
        <v>160</v>
      </c>
      <c r="G147" s="3" t="s">
        <v>161</v>
      </c>
      <c r="H147" s="3" t="s">
        <v>49</v>
      </c>
      <c r="I147" s="3" t="s">
        <v>78</v>
      </c>
      <c r="J147" s="6" t="str">
        <f>HYPERLINK("http://www.pearlcapital.net","www.pearlcapital.net")</f>
        <v>www.pearlcapital.net</v>
      </c>
    </row>
    <row r="148" spans="2:10" x14ac:dyDescent="0.2">
      <c r="B148" s="5" t="s">
        <v>393</v>
      </c>
      <c r="C148" s="5" t="s">
        <v>394</v>
      </c>
      <c r="D148" s="5" t="s">
        <v>97</v>
      </c>
      <c r="E148" s="7">
        <v>30</v>
      </c>
      <c r="F148" s="5" t="s">
        <v>395</v>
      </c>
      <c r="G148" s="5" t="s">
        <v>84</v>
      </c>
      <c r="H148" s="5" t="s">
        <v>49</v>
      </c>
      <c r="I148" s="5" t="s">
        <v>85</v>
      </c>
      <c r="J148" s="1" t="str">
        <f>HYPERLINK("http://www.psgcapital.com","www.psgcapital.com")</f>
        <v>www.psgcapital.com</v>
      </c>
    </row>
    <row r="149" spans="2:10" x14ac:dyDescent="0.2">
      <c r="B149" s="3" t="s">
        <v>396</v>
      </c>
      <c r="C149" s="3" t="s">
        <v>397</v>
      </c>
      <c r="D149" s="3" t="s">
        <v>23</v>
      </c>
      <c r="E149" s="4">
        <v>3831</v>
      </c>
      <c r="F149" s="3" t="s">
        <v>398</v>
      </c>
      <c r="G149" s="3" t="s">
        <v>14</v>
      </c>
      <c r="H149" s="3" t="s">
        <v>15</v>
      </c>
      <c r="I149" s="3" t="s">
        <v>16</v>
      </c>
      <c r="J149" s="6" t="str">
        <f>HYPERLINK("http://www.reedsmith.com/en","www.reedsmith.com/en")</f>
        <v>www.reedsmith.com/en</v>
      </c>
    </row>
    <row r="150" spans="2:10" x14ac:dyDescent="0.2">
      <c r="B150" s="5" t="s">
        <v>399</v>
      </c>
      <c r="C150" s="5" t="s">
        <v>400</v>
      </c>
      <c r="D150" s="5" t="s">
        <v>12</v>
      </c>
      <c r="E150" s="7">
        <v>5433</v>
      </c>
      <c r="F150" s="5" t="s">
        <v>401</v>
      </c>
      <c r="G150" s="5" t="s">
        <v>14</v>
      </c>
      <c r="H150" s="5" t="s">
        <v>15</v>
      </c>
      <c r="I150" s="5" t="s">
        <v>16</v>
      </c>
      <c r="J150" s="1" t="str">
        <f>HYPERLINK("http://www.rwbaird.com","www.rwbaird.com")</f>
        <v>www.rwbaird.com</v>
      </c>
    </row>
    <row r="151" spans="2:10" x14ac:dyDescent="0.2">
      <c r="B151" s="3" t="s">
        <v>402</v>
      </c>
      <c r="C151" s="3" t="s">
        <v>403</v>
      </c>
      <c r="D151" s="3" t="s">
        <v>23</v>
      </c>
      <c r="E151" s="4" t="s">
        <v>10</v>
      </c>
      <c r="F151" s="3" t="s">
        <v>13</v>
      </c>
      <c r="G151" s="3" t="s">
        <v>14</v>
      </c>
      <c r="H151" s="3" t="s">
        <v>15</v>
      </c>
      <c r="I151" s="3" t="s">
        <v>16</v>
      </c>
      <c r="J151" s="6" t="str">
        <f>HYPERLINK("http://www.shearman.com","www.shearman.com")</f>
        <v>www.shearman.com</v>
      </c>
    </row>
    <row r="152" spans="2:10" x14ac:dyDescent="0.2">
      <c r="B152" s="5" t="s">
        <v>404</v>
      </c>
      <c r="C152" s="5" t="s">
        <v>405</v>
      </c>
      <c r="D152" s="5" t="s">
        <v>23</v>
      </c>
      <c r="E152" s="7">
        <v>85</v>
      </c>
      <c r="F152" s="5" t="s">
        <v>406</v>
      </c>
      <c r="G152" s="5" t="s">
        <v>407</v>
      </c>
      <c r="H152" s="5" t="s">
        <v>236</v>
      </c>
      <c r="I152" s="5" t="s">
        <v>408</v>
      </c>
      <c r="J152" s="1" t="str">
        <f>HYPERLINK("http://www.spiceroutelegal.com","www.spiceroutelegal.com")</f>
        <v>www.spiceroutelegal.com</v>
      </c>
    </row>
    <row r="153" spans="2:10" x14ac:dyDescent="0.2">
      <c r="B153" s="3" t="s">
        <v>409</v>
      </c>
      <c r="C153" s="3" t="s">
        <v>410</v>
      </c>
      <c r="D153" s="3" t="s">
        <v>331</v>
      </c>
      <c r="E153" s="4">
        <v>6102</v>
      </c>
      <c r="F153" s="3" t="s">
        <v>13</v>
      </c>
      <c r="G153" s="3" t="s">
        <v>14</v>
      </c>
      <c r="H153" s="3" t="s">
        <v>15</v>
      </c>
      <c r="I153" s="3" t="s">
        <v>16</v>
      </c>
      <c r="J153" s="6" t="str">
        <f>HYPERLINK("http://www.strategyand.pwc.com","www.strategyand.pwc.com")</f>
        <v>www.strategyand.pwc.com</v>
      </c>
    </row>
    <row r="154" spans="2:10" x14ac:dyDescent="0.2">
      <c r="B154" s="5" t="s">
        <v>411</v>
      </c>
      <c r="C154" s="5" t="s">
        <v>412</v>
      </c>
      <c r="D154" s="5" t="s">
        <v>23</v>
      </c>
      <c r="E154" s="7">
        <v>1954</v>
      </c>
      <c r="F154" s="5" t="s">
        <v>13</v>
      </c>
      <c r="G154" s="5" t="s">
        <v>14</v>
      </c>
      <c r="H154" s="5" t="s">
        <v>15</v>
      </c>
      <c r="I154" s="5" t="s">
        <v>16</v>
      </c>
      <c r="J154" s="1" t="str">
        <f>HYPERLINK("http://www.sullcrom.com","www.sullcrom.com")</f>
        <v>www.sullcrom.com</v>
      </c>
    </row>
    <row r="155" spans="2:10" x14ac:dyDescent="0.2">
      <c r="B155" s="3" t="s">
        <v>413</v>
      </c>
      <c r="C155" s="3" t="s">
        <v>10</v>
      </c>
      <c r="D155" s="3" t="s">
        <v>134</v>
      </c>
      <c r="E155" s="4" t="s">
        <v>10</v>
      </c>
      <c r="F155" s="3" t="s">
        <v>414</v>
      </c>
      <c r="G155" s="3" t="s">
        <v>107</v>
      </c>
      <c r="H155" s="3" t="s">
        <v>26</v>
      </c>
      <c r="I155" s="3" t="s">
        <v>27</v>
      </c>
      <c r="J155" s="6" t="str">
        <f>HYPERLINK("http://www.symbid.nl","www.symbid.nl")</f>
        <v>www.symbid.nl</v>
      </c>
    </row>
    <row r="156" spans="2:10" x14ac:dyDescent="0.2">
      <c r="B156" s="5" t="s">
        <v>415</v>
      </c>
      <c r="C156" s="5" t="s">
        <v>416</v>
      </c>
      <c r="D156" s="5" t="s">
        <v>30</v>
      </c>
      <c r="E156" s="7">
        <v>35</v>
      </c>
      <c r="F156" s="5" t="s">
        <v>24</v>
      </c>
      <c r="G156" s="5" t="s">
        <v>25</v>
      </c>
      <c r="H156" s="5" t="s">
        <v>26</v>
      </c>
      <c r="I156" s="5" t="s">
        <v>27</v>
      </c>
      <c r="J156" s="1" t="str">
        <f>HYPERLINK("http://www.tlgcapital.com","www.tlgcapital.com")</f>
        <v>www.tlgcapital.com</v>
      </c>
    </row>
    <row r="157" spans="2:10" x14ac:dyDescent="0.2">
      <c r="B157" s="3" t="s">
        <v>417</v>
      </c>
      <c r="C157" s="3" t="s">
        <v>418</v>
      </c>
      <c r="D157" s="3" t="s">
        <v>23</v>
      </c>
      <c r="E157" s="4" t="s">
        <v>10</v>
      </c>
      <c r="F157" s="3" t="s">
        <v>210</v>
      </c>
      <c r="G157" s="3" t="s">
        <v>48</v>
      </c>
      <c r="H157" s="3" t="s">
        <v>49</v>
      </c>
      <c r="I157" s="3" t="s">
        <v>50</v>
      </c>
      <c r="J157" s="6" t="str">
        <f>HYPERLINK("http://www.tmslegal.com","www.tmslegal.com")</f>
        <v>www.tmslegal.com</v>
      </c>
    </row>
    <row r="158" spans="2:10" x14ac:dyDescent="0.2">
      <c r="B158" s="5" t="s">
        <v>419</v>
      </c>
      <c r="C158" s="5" t="s">
        <v>420</v>
      </c>
      <c r="D158" s="5" t="s">
        <v>33</v>
      </c>
      <c r="E158" s="7">
        <v>76934</v>
      </c>
      <c r="F158" s="5" t="s">
        <v>244</v>
      </c>
      <c r="G158" s="5" t="s">
        <v>14</v>
      </c>
      <c r="H158" s="5" t="s">
        <v>15</v>
      </c>
      <c r="I158" s="5" t="s">
        <v>16</v>
      </c>
      <c r="J158" s="1" t="str">
        <f>HYPERLINK("http://www.usbank.com","www.usbank.com")</f>
        <v>www.usbank.com</v>
      </c>
    </row>
    <row r="159" spans="2:10" x14ac:dyDescent="0.2">
      <c r="B159" s="3" t="s">
        <v>421</v>
      </c>
      <c r="C159" s="3" t="s">
        <v>422</v>
      </c>
      <c r="D159" s="3" t="s">
        <v>30</v>
      </c>
      <c r="E159" s="4" t="s">
        <v>10</v>
      </c>
      <c r="F159" s="3" t="s">
        <v>40</v>
      </c>
      <c r="G159" s="3" t="s">
        <v>41</v>
      </c>
      <c r="H159" s="3" t="s">
        <v>26</v>
      </c>
      <c r="I159" s="3" t="s">
        <v>27</v>
      </c>
      <c r="J159" s="3" t="s">
        <v>10</v>
      </c>
    </row>
    <row r="160" spans="2:10" x14ac:dyDescent="0.2">
      <c r="B160" s="5" t="s">
        <v>423</v>
      </c>
      <c r="C160" s="5" t="s">
        <v>424</v>
      </c>
      <c r="D160" s="5" t="s">
        <v>23</v>
      </c>
      <c r="E160" s="7">
        <v>245</v>
      </c>
      <c r="F160" s="5" t="s">
        <v>93</v>
      </c>
      <c r="G160" s="5" t="s">
        <v>94</v>
      </c>
      <c r="H160" s="5" t="s">
        <v>26</v>
      </c>
      <c r="I160" s="5" t="s">
        <v>27</v>
      </c>
      <c r="J160" s="1" t="str">
        <f>HYPERLINK("http://www.uggc.com","www.uggc.com")</f>
        <v>www.uggc.com</v>
      </c>
    </row>
    <row r="161" spans="2:10" x14ac:dyDescent="0.2">
      <c r="B161" s="3" t="s">
        <v>425</v>
      </c>
      <c r="C161" s="3" t="s">
        <v>10</v>
      </c>
      <c r="D161" s="3" t="s">
        <v>30</v>
      </c>
      <c r="E161" s="4" t="s">
        <v>10</v>
      </c>
      <c r="F161" s="3" t="s">
        <v>90</v>
      </c>
      <c r="G161" s="3" t="s">
        <v>84</v>
      </c>
      <c r="H161" s="3" t="s">
        <v>49</v>
      </c>
      <c r="I161" s="3" t="s">
        <v>85</v>
      </c>
      <c r="J161" s="6" t="str">
        <f>HYPERLINK("http://www.vantagecapital.co.za","www.vantagecapital.co.za")</f>
        <v>www.vantagecapital.co.za</v>
      </c>
    </row>
    <row r="162" spans="2:10" x14ac:dyDescent="0.2">
      <c r="B162" s="5" t="s">
        <v>426</v>
      </c>
      <c r="C162" s="5" t="s">
        <v>427</v>
      </c>
      <c r="D162" s="5" t="s">
        <v>23</v>
      </c>
      <c r="E162" s="7">
        <v>1672</v>
      </c>
      <c r="F162" s="5" t="s">
        <v>428</v>
      </c>
      <c r="G162" s="5" t="s">
        <v>429</v>
      </c>
      <c r="H162" s="5" t="s">
        <v>15</v>
      </c>
      <c r="I162" s="5" t="s">
        <v>430</v>
      </c>
      <c r="J162" s="1" t="str">
        <f>HYPERLINK("http://www.walkersglobal.com","www.walkersglobal.com")</f>
        <v>www.walkersglobal.com</v>
      </c>
    </row>
    <row r="163" spans="2:10" x14ac:dyDescent="0.2">
      <c r="B163" s="3" t="s">
        <v>431</v>
      </c>
      <c r="C163" s="3" t="s">
        <v>432</v>
      </c>
      <c r="D163" s="3" t="s">
        <v>12</v>
      </c>
      <c r="E163" s="4">
        <v>2456</v>
      </c>
      <c r="F163" s="3" t="s">
        <v>122</v>
      </c>
      <c r="G163" s="3" t="s">
        <v>14</v>
      </c>
      <c r="H163" s="3" t="s">
        <v>15</v>
      </c>
      <c r="I163" s="3" t="s">
        <v>16</v>
      </c>
      <c r="J163" s="6" t="str">
        <f>HYPERLINK("http://www.williamblair.com","www.williamblair.com")</f>
        <v>www.williamblair.com</v>
      </c>
    </row>
    <row r="164" spans="2:10" x14ac:dyDescent="0.2">
      <c r="B164" s="5" t="s">
        <v>433</v>
      </c>
      <c r="C164" s="5" t="s">
        <v>434</v>
      </c>
      <c r="D164" s="5" t="s">
        <v>23</v>
      </c>
      <c r="E164" s="7">
        <v>505</v>
      </c>
      <c r="F164" s="5" t="s">
        <v>435</v>
      </c>
      <c r="G164" s="5" t="s">
        <v>436</v>
      </c>
      <c r="H164" s="5" t="s">
        <v>26</v>
      </c>
      <c r="I164" s="5" t="s">
        <v>27</v>
      </c>
      <c r="J164" s="1" t="str">
        <f>HYPERLINK("http://www.williamfry.com","www.williamfry.com")</f>
        <v>www.williamfry.com</v>
      </c>
    </row>
    <row r="165" spans="2:10" x14ac:dyDescent="0.2">
      <c r="B165" s="3" t="s">
        <v>437</v>
      </c>
      <c r="C165" s="3" t="s">
        <v>438</v>
      </c>
      <c r="D165" s="3" t="s">
        <v>12</v>
      </c>
      <c r="E165" s="4">
        <v>118</v>
      </c>
      <c r="F165" s="3" t="s">
        <v>47</v>
      </c>
      <c r="G165" s="3" t="s">
        <v>48</v>
      </c>
      <c r="H165" s="3" t="s">
        <v>49</v>
      </c>
      <c r="I165" s="3" t="s">
        <v>50</v>
      </c>
      <c r="J165" s="6" t="str">
        <f>HYPERLINK("http://www.zillacapital.com","www.zillacapital.com")</f>
        <v>www.zillacapital.com</v>
      </c>
    </row>
    <row r="166" spans="2:10" x14ac:dyDescent="0.2">
      <c r="B166" s="5" t="s">
        <v>439</v>
      </c>
      <c r="C166" s="5" t="s">
        <v>10</v>
      </c>
      <c r="D166" s="5" t="s">
        <v>189</v>
      </c>
      <c r="E166" s="7" t="s">
        <v>10</v>
      </c>
      <c r="F166" s="5" t="s">
        <v>93</v>
      </c>
      <c r="G166" s="5" t="s">
        <v>94</v>
      </c>
      <c r="H166" s="5" t="s">
        <v>26</v>
      </c>
      <c r="I166" s="5" t="s">
        <v>27</v>
      </c>
      <c r="J166" s="1" t="str">
        <f>HYPERLINK("http://www.35nord.com","www.35nord.com")</f>
        <v>www.35nord.com</v>
      </c>
    </row>
    <row r="167" spans="2:10" x14ac:dyDescent="0.2">
      <c r="B167" s="3" t="s">
        <v>440</v>
      </c>
      <c r="C167" s="3" t="s">
        <v>10</v>
      </c>
      <c r="D167" s="3" t="s">
        <v>189</v>
      </c>
      <c r="E167" s="4" t="s">
        <v>10</v>
      </c>
      <c r="F167" s="3" t="s">
        <v>441</v>
      </c>
      <c r="G167" s="3" t="s">
        <v>250</v>
      </c>
      <c r="H167" s="3" t="s">
        <v>15</v>
      </c>
      <c r="I167" s="3" t="s">
        <v>16</v>
      </c>
      <c r="J167" s="3" t="s">
        <v>10</v>
      </c>
    </row>
    <row r="168" spans="2:10" x14ac:dyDescent="0.2">
      <c r="B168" s="5" t="s">
        <v>442</v>
      </c>
      <c r="C168" s="5" t="s">
        <v>443</v>
      </c>
      <c r="D168" s="5" t="s">
        <v>30</v>
      </c>
      <c r="E168" s="7" t="s">
        <v>10</v>
      </c>
      <c r="F168" s="5" t="s">
        <v>90</v>
      </c>
      <c r="G168" s="5" t="s">
        <v>84</v>
      </c>
      <c r="H168" s="5" t="s">
        <v>49</v>
      </c>
      <c r="I168" s="5" t="s">
        <v>85</v>
      </c>
      <c r="J168" s="5" t="s">
        <v>10</v>
      </c>
    </row>
    <row r="169" spans="2:10" x14ac:dyDescent="0.2">
      <c r="B169" s="3" t="s">
        <v>444</v>
      </c>
      <c r="C169" s="3" t="s">
        <v>445</v>
      </c>
      <c r="D169" s="3" t="s">
        <v>30</v>
      </c>
      <c r="E169" s="4">
        <v>17</v>
      </c>
      <c r="F169" s="3" t="s">
        <v>90</v>
      </c>
      <c r="G169" s="3" t="s">
        <v>84</v>
      </c>
      <c r="H169" s="3" t="s">
        <v>49</v>
      </c>
      <c r="I169" s="3" t="s">
        <v>85</v>
      </c>
      <c r="J169" s="6" t="str">
        <f>HYPERLINK("http://cib.absa.africa","cib.absa.africa")</f>
        <v>cib.absa.africa</v>
      </c>
    </row>
    <row r="170" spans="2:10" x14ac:dyDescent="0.2">
      <c r="B170" s="5" t="s">
        <v>446</v>
      </c>
      <c r="C170" s="5" t="s">
        <v>447</v>
      </c>
      <c r="D170" s="5" t="s">
        <v>33</v>
      </c>
      <c r="E170" s="7">
        <v>476</v>
      </c>
      <c r="F170" s="5" t="s">
        <v>448</v>
      </c>
      <c r="G170" s="5" t="s">
        <v>14</v>
      </c>
      <c r="H170" s="5" t="s">
        <v>15</v>
      </c>
      <c r="I170" s="5" t="s">
        <v>16</v>
      </c>
      <c r="J170" s="1" t="str">
        <f>HYPERLINK("http://www.academybank.com","www.academybank.com")</f>
        <v>www.academybank.com</v>
      </c>
    </row>
    <row r="171" spans="2:10" x14ac:dyDescent="0.2">
      <c r="B171" s="3" t="s">
        <v>449</v>
      </c>
      <c r="C171" s="3" t="s">
        <v>450</v>
      </c>
      <c r="D171" s="3" t="s">
        <v>12</v>
      </c>
      <c r="E171" s="4">
        <v>115</v>
      </c>
      <c r="F171" s="3" t="s">
        <v>13</v>
      </c>
      <c r="G171" s="3" t="s">
        <v>14</v>
      </c>
      <c r="H171" s="3" t="s">
        <v>15</v>
      </c>
      <c r="I171" s="3" t="s">
        <v>16</v>
      </c>
      <c r="J171" s="6" t="str">
        <f>HYPERLINK("http://www.academysecurities.com","www.academysecurities.com")</f>
        <v>www.academysecurities.com</v>
      </c>
    </row>
    <row r="172" spans="2:10" x14ac:dyDescent="0.2">
      <c r="B172" s="5" t="s">
        <v>451</v>
      </c>
      <c r="C172" s="5" t="s">
        <v>452</v>
      </c>
      <c r="D172" s="5" t="s">
        <v>97</v>
      </c>
      <c r="E172" s="7">
        <v>9</v>
      </c>
      <c r="F172" s="5" t="s">
        <v>93</v>
      </c>
      <c r="G172" s="5" t="s">
        <v>94</v>
      </c>
      <c r="H172" s="5" t="s">
        <v>26</v>
      </c>
      <c r="I172" s="5" t="s">
        <v>27</v>
      </c>
      <c r="J172" s="1" t="str">
        <f>HYPERLINK("http://www.ader.co","www.ader.co")</f>
        <v>www.ader.co</v>
      </c>
    </row>
    <row r="173" spans="2:10" x14ac:dyDescent="0.2">
      <c r="B173" s="3" t="s">
        <v>453</v>
      </c>
      <c r="C173" s="3" t="s">
        <v>10</v>
      </c>
      <c r="D173" s="3" t="s">
        <v>12</v>
      </c>
      <c r="E173" s="4" t="s">
        <v>10</v>
      </c>
      <c r="F173" s="3" t="s">
        <v>47</v>
      </c>
      <c r="G173" s="3" t="s">
        <v>48</v>
      </c>
      <c r="H173" s="3" t="s">
        <v>49</v>
      </c>
      <c r="I173" s="3" t="s">
        <v>50</v>
      </c>
      <c r="J173" s="3" t="s">
        <v>10</v>
      </c>
    </row>
    <row r="174" spans="2:10" x14ac:dyDescent="0.2">
      <c r="B174" s="5" t="s">
        <v>454</v>
      </c>
      <c r="C174" s="5" t="s">
        <v>455</v>
      </c>
      <c r="D174" s="5" t="s">
        <v>23</v>
      </c>
      <c r="E174" s="7">
        <v>115</v>
      </c>
      <c r="F174" s="5" t="s">
        <v>47</v>
      </c>
      <c r="G174" s="5" t="s">
        <v>48</v>
      </c>
      <c r="H174" s="5" t="s">
        <v>49</v>
      </c>
      <c r="I174" s="5" t="s">
        <v>50</v>
      </c>
      <c r="J174" s="1" t="str">
        <f>HYPERLINK("http://www.adsero.me","www.adsero.me")</f>
        <v>www.adsero.me</v>
      </c>
    </row>
    <row r="175" spans="2:10" x14ac:dyDescent="0.2">
      <c r="B175" s="3" t="s">
        <v>456</v>
      </c>
      <c r="C175" s="3" t="s">
        <v>457</v>
      </c>
      <c r="D175" s="3" t="s">
        <v>97</v>
      </c>
      <c r="E175" s="4">
        <v>123</v>
      </c>
      <c r="F175" s="3" t="s">
        <v>458</v>
      </c>
      <c r="G175" s="3" t="s">
        <v>94</v>
      </c>
      <c r="H175" s="3" t="s">
        <v>26</v>
      </c>
      <c r="I175" s="3" t="s">
        <v>27</v>
      </c>
      <c r="J175" s="6" t="str">
        <f>HYPERLINK("http://www.advance-capital.fr","www.advance-capital.fr")</f>
        <v>www.advance-capital.fr</v>
      </c>
    </row>
    <row r="176" spans="2:10" x14ac:dyDescent="0.2">
      <c r="B176" s="5" t="s">
        <v>459</v>
      </c>
      <c r="C176" s="5" t="s">
        <v>460</v>
      </c>
      <c r="D176" s="5" t="s">
        <v>97</v>
      </c>
      <c r="E176" s="7">
        <v>4</v>
      </c>
      <c r="F176" s="5" t="s">
        <v>351</v>
      </c>
      <c r="G176" s="5" t="s">
        <v>84</v>
      </c>
      <c r="H176" s="5" t="s">
        <v>49</v>
      </c>
      <c r="I176" s="5" t="s">
        <v>85</v>
      </c>
      <c r="J176" s="1" t="str">
        <f>HYPERLINK("http://www.afriscapital.com","www.afriscapital.com")</f>
        <v>www.afriscapital.com</v>
      </c>
    </row>
    <row r="177" spans="2:10" x14ac:dyDescent="0.2">
      <c r="B177" s="3" t="s">
        <v>461</v>
      </c>
      <c r="C177" s="3" t="s">
        <v>10</v>
      </c>
      <c r="D177" s="3" t="s">
        <v>189</v>
      </c>
      <c r="E177" s="4" t="s">
        <v>10</v>
      </c>
      <c r="F177" s="3" t="s">
        <v>76</v>
      </c>
      <c r="G177" s="3" t="s">
        <v>77</v>
      </c>
      <c r="H177" s="3" t="s">
        <v>49</v>
      </c>
      <c r="I177" s="3" t="s">
        <v>78</v>
      </c>
      <c r="J177" s="6" t="str">
        <f>HYPERLINK("http://www.afrinova.co.ke","www.afrinova.co.ke")</f>
        <v>www.afrinova.co.ke</v>
      </c>
    </row>
    <row r="178" spans="2:10" x14ac:dyDescent="0.2">
      <c r="B178" s="5" t="s">
        <v>462</v>
      </c>
      <c r="C178" s="5" t="s">
        <v>10</v>
      </c>
      <c r="D178" s="5" t="s">
        <v>23</v>
      </c>
      <c r="E178" s="7" t="s">
        <v>10</v>
      </c>
      <c r="F178" s="5" t="s">
        <v>210</v>
      </c>
      <c r="G178" s="5" t="s">
        <v>48</v>
      </c>
      <c r="H178" s="5" t="s">
        <v>49</v>
      </c>
      <c r="I178" s="5" t="s">
        <v>50</v>
      </c>
      <c r="J178" s="5" t="s">
        <v>10</v>
      </c>
    </row>
    <row r="179" spans="2:10" x14ac:dyDescent="0.2">
      <c r="B179" s="3" t="s">
        <v>463</v>
      </c>
      <c r="C179" s="3" t="s">
        <v>464</v>
      </c>
      <c r="D179" s="3" t="s">
        <v>30</v>
      </c>
      <c r="E179" s="4">
        <v>70</v>
      </c>
      <c r="F179" s="3" t="s">
        <v>24</v>
      </c>
      <c r="G179" s="3" t="s">
        <v>25</v>
      </c>
      <c r="H179" s="3" t="s">
        <v>26</v>
      </c>
      <c r="I179" s="3" t="s">
        <v>27</v>
      </c>
      <c r="J179" s="6" t="str">
        <f>HYPERLINK("http://www.albacorecapital.com","www.albacorecapital.com")</f>
        <v>www.albacorecapital.com</v>
      </c>
    </row>
    <row r="180" spans="2:10" x14ac:dyDescent="0.2">
      <c r="B180" s="5" t="s">
        <v>465</v>
      </c>
      <c r="C180" s="5" t="s">
        <v>10</v>
      </c>
      <c r="D180" s="5" t="s">
        <v>23</v>
      </c>
      <c r="E180" s="7" t="s">
        <v>10</v>
      </c>
      <c r="F180" s="5" t="s">
        <v>210</v>
      </c>
      <c r="G180" s="5" t="s">
        <v>48</v>
      </c>
      <c r="H180" s="5" t="s">
        <v>49</v>
      </c>
      <c r="I180" s="5" t="s">
        <v>50</v>
      </c>
      <c r="J180" s="5" t="s">
        <v>10</v>
      </c>
    </row>
    <row r="181" spans="2:10" x14ac:dyDescent="0.2">
      <c r="B181" s="3" t="s">
        <v>466</v>
      </c>
      <c r="C181" s="3" t="s">
        <v>467</v>
      </c>
      <c r="D181" s="3" t="s">
        <v>338</v>
      </c>
      <c r="E181" s="4">
        <v>249</v>
      </c>
      <c r="F181" s="3" t="s">
        <v>93</v>
      </c>
      <c r="G181" s="3" t="s">
        <v>94</v>
      </c>
      <c r="H181" s="3" t="s">
        <v>26</v>
      </c>
      <c r="I181" s="3" t="s">
        <v>27</v>
      </c>
      <c r="J181" s="6" t="str">
        <f>HYPERLINK("http://www.alcimed.com","www.alcimed.com")</f>
        <v>www.alcimed.com</v>
      </c>
    </row>
    <row r="182" spans="2:10" x14ac:dyDescent="0.2">
      <c r="B182" s="5" t="s">
        <v>468</v>
      </c>
      <c r="C182" s="5" t="s">
        <v>469</v>
      </c>
      <c r="D182" s="5" t="s">
        <v>12</v>
      </c>
      <c r="E182" s="7">
        <v>10</v>
      </c>
      <c r="F182" s="5" t="s">
        <v>470</v>
      </c>
      <c r="G182" s="5" t="s">
        <v>14</v>
      </c>
      <c r="H182" s="5" t="s">
        <v>15</v>
      </c>
      <c r="I182" s="5" t="s">
        <v>16</v>
      </c>
      <c r="J182" s="1" t="str">
        <f>HYPERLINK("http://www.alexanderhutton.com","www.alexanderhutton.com")</f>
        <v>www.alexanderhutton.com</v>
      </c>
    </row>
    <row r="183" spans="2:10" x14ac:dyDescent="0.2">
      <c r="B183" s="3" t="s">
        <v>471</v>
      </c>
      <c r="C183" s="3" t="s">
        <v>472</v>
      </c>
      <c r="D183" s="3" t="s">
        <v>44</v>
      </c>
      <c r="E183" s="4" t="s">
        <v>10</v>
      </c>
      <c r="F183" s="3" t="s">
        <v>24</v>
      </c>
      <c r="G183" s="3" t="s">
        <v>25</v>
      </c>
      <c r="H183" s="3" t="s">
        <v>26</v>
      </c>
      <c r="I183" s="3" t="s">
        <v>27</v>
      </c>
      <c r="J183" s="6" t="str">
        <f>HYPERLINK("http://alexanderjohnsonltd.co.uk","alexanderjohnsonltd.co.uk")</f>
        <v>alexanderjohnsonltd.co.uk</v>
      </c>
    </row>
    <row r="184" spans="2:10" x14ac:dyDescent="0.2">
      <c r="B184" s="5" t="s">
        <v>473</v>
      </c>
      <c r="C184" s="5" t="s">
        <v>474</v>
      </c>
      <c r="D184" s="5" t="s">
        <v>23</v>
      </c>
      <c r="E184" s="7">
        <v>26</v>
      </c>
      <c r="F184" s="5" t="s">
        <v>210</v>
      </c>
      <c r="G184" s="5" t="s">
        <v>48</v>
      </c>
      <c r="H184" s="5" t="s">
        <v>49</v>
      </c>
      <c r="I184" s="5" t="s">
        <v>50</v>
      </c>
      <c r="J184" s="5" t="s">
        <v>10</v>
      </c>
    </row>
    <row r="185" spans="2:10" x14ac:dyDescent="0.2">
      <c r="B185" s="3" t="s">
        <v>475</v>
      </c>
      <c r="C185" s="3" t="s">
        <v>476</v>
      </c>
      <c r="D185" s="3" t="s">
        <v>23</v>
      </c>
      <c r="E185" s="4">
        <v>31</v>
      </c>
      <c r="F185" s="3" t="s">
        <v>47</v>
      </c>
      <c r="G185" s="3" t="s">
        <v>48</v>
      </c>
      <c r="H185" s="3" t="s">
        <v>49</v>
      </c>
      <c r="I185" s="3" t="s">
        <v>50</v>
      </c>
      <c r="J185" s="6" t="str">
        <f>HYPERLINK("http://www.alliancelaw.com.eg","www.alliancelaw.com.eg")</f>
        <v>www.alliancelaw.com.eg</v>
      </c>
    </row>
    <row r="186" spans="2:10" x14ac:dyDescent="0.2">
      <c r="B186" s="5" t="s">
        <v>477</v>
      </c>
      <c r="C186" s="5" t="s">
        <v>10</v>
      </c>
      <c r="D186" s="5" t="s">
        <v>30</v>
      </c>
      <c r="E186" s="7" t="s">
        <v>10</v>
      </c>
      <c r="F186" s="5" t="s">
        <v>478</v>
      </c>
      <c r="G186" s="5" t="s">
        <v>41</v>
      </c>
      <c r="H186" s="5" t="s">
        <v>26</v>
      </c>
      <c r="I186" s="5" t="s">
        <v>27</v>
      </c>
      <c r="J186" s="1" t="str">
        <f>HYPERLINK("http://www.alphamundigroup.com","www.alphamundigroup.com")</f>
        <v>www.alphamundigroup.com</v>
      </c>
    </row>
    <row r="187" spans="2:10" x14ac:dyDescent="0.2">
      <c r="B187" s="3" t="s">
        <v>479</v>
      </c>
      <c r="C187" s="3" t="s">
        <v>480</v>
      </c>
      <c r="D187" s="3" t="s">
        <v>23</v>
      </c>
      <c r="E187" s="4">
        <v>80</v>
      </c>
      <c r="F187" s="3" t="s">
        <v>481</v>
      </c>
      <c r="G187" s="3" t="s">
        <v>99</v>
      </c>
      <c r="H187" s="3" t="s">
        <v>49</v>
      </c>
      <c r="I187" s="3" t="s">
        <v>58</v>
      </c>
      <c r="J187" s="6" t="str">
        <f>HYPERLINK("http://www.aluko-oyebode.com","www.aluko-oyebode.com")</f>
        <v>www.aluko-oyebode.com</v>
      </c>
    </row>
    <row r="188" spans="2:10" x14ac:dyDescent="0.2">
      <c r="B188" s="5" t="s">
        <v>482</v>
      </c>
      <c r="C188" s="5" t="s">
        <v>483</v>
      </c>
      <c r="D188" s="5" t="s">
        <v>484</v>
      </c>
      <c r="E188" s="7">
        <v>25</v>
      </c>
      <c r="F188" s="5" t="s">
        <v>485</v>
      </c>
      <c r="G188" s="5" t="s">
        <v>14</v>
      </c>
      <c r="H188" s="5" t="s">
        <v>15</v>
      </c>
      <c r="I188" s="5" t="s">
        <v>16</v>
      </c>
      <c r="J188" s="1" t="str">
        <f>HYPERLINK("http://www.acmarketingpr.com","www.acmarketingpr.com")</f>
        <v>www.acmarketingpr.com</v>
      </c>
    </row>
    <row r="189" spans="2:10" x14ac:dyDescent="0.2">
      <c r="B189" s="3" t="s">
        <v>486</v>
      </c>
      <c r="C189" s="3" t="s">
        <v>10</v>
      </c>
      <c r="D189" s="3" t="s">
        <v>23</v>
      </c>
      <c r="E189" s="4" t="s">
        <v>10</v>
      </c>
      <c r="F189" s="3" t="s">
        <v>487</v>
      </c>
      <c r="G189" s="3" t="s">
        <v>308</v>
      </c>
      <c r="H189" s="3" t="s">
        <v>49</v>
      </c>
      <c r="I189" s="3" t="s">
        <v>58</v>
      </c>
      <c r="J189" s="3" t="s">
        <v>10</v>
      </c>
    </row>
    <row r="190" spans="2:10" x14ac:dyDescent="0.2">
      <c r="B190" s="5" t="s">
        <v>488</v>
      </c>
      <c r="C190" s="5" t="s">
        <v>10</v>
      </c>
      <c r="D190" s="5" t="s">
        <v>134</v>
      </c>
      <c r="E190" s="7" t="s">
        <v>10</v>
      </c>
      <c r="F190" s="5" t="s">
        <v>93</v>
      </c>
      <c r="G190" s="5" t="s">
        <v>94</v>
      </c>
      <c r="H190" s="5" t="s">
        <v>26</v>
      </c>
      <c r="I190" s="5" t="s">
        <v>27</v>
      </c>
      <c r="J190" s="1" t="str">
        <f>HYPERLINK("http://www.anaxago.com","www.anaxago.com")</f>
        <v>www.anaxago.com</v>
      </c>
    </row>
    <row r="191" spans="2:10" x14ac:dyDescent="0.2">
      <c r="B191" s="3" t="s">
        <v>489</v>
      </c>
      <c r="C191" s="3" t="s">
        <v>490</v>
      </c>
      <c r="D191" s="3" t="s">
        <v>30</v>
      </c>
      <c r="E191" s="4">
        <v>4395</v>
      </c>
      <c r="F191" s="3" t="s">
        <v>13</v>
      </c>
      <c r="G191" s="3" t="s">
        <v>14</v>
      </c>
      <c r="H191" s="3" t="s">
        <v>15</v>
      </c>
      <c r="I191" s="3" t="s">
        <v>16</v>
      </c>
      <c r="J191" s="6" t="str">
        <f>HYPERLINK("http://www.apollo.com","www.apollo.com")</f>
        <v>www.apollo.com</v>
      </c>
    </row>
    <row r="192" spans="2:10" x14ac:dyDescent="0.2">
      <c r="B192" s="5" t="s">
        <v>491</v>
      </c>
      <c r="C192" s="5" t="s">
        <v>492</v>
      </c>
      <c r="D192" s="5" t="s">
        <v>33</v>
      </c>
      <c r="E192" s="7">
        <v>3090</v>
      </c>
      <c r="F192" s="5" t="s">
        <v>47</v>
      </c>
      <c r="G192" s="5" t="s">
        <v>48</v>
      </c>
      <c r="H192" s="5" t="s">
        <v>49</v>
      </c>
      <c r="I192" s="5" t="s">
        <v>50</v>
      </c>
      <c r="J192" s="1" t="str">
        <f>HYPERLINK("http://www.aaib.com","www.aaib.com")</f>
        <v>www.aaib.com</v>
      </c>
    </row>
    <row r="193" spans="2:10" x14ac:dyDescent="0.2">
      <c r="B193" s="3" t="s">
        <v>493</v>
      </c>
      <c r="C193" s="3" t="s">
        <v>494</v>
      </c>
      <c r="D193" s="3" t="s">
        <v>33</v>
      </c>
      <c r="E193" s="4">
        <v>8799</v>
      </c>
      <c r="F193" s="3" t="s">
        <v>495</v>
      </c>
      <c r="G193" s="3" t="s">
        <v>496</v>
      </c>
      <c r="H193" s="3" t="s">
        <v>223</v>
      </c>
      <c r="I193" s="3" t="s">
        <v>223</v>
      </c>
      <c r="J193" s="6" t="str">
        <f>HYPERLINK("http://www.arabbank.com","www.arabbank.com")</f>
        <v>www.arabbank.com</v>
      </c>
    </row>
    <row r="194" spans="2:10" x14ac:dyDescent="0.2">
      <c r="B194" s="5" t="s">
        <v>497</v>
      </c>
      <c r="C194" s="5" t="s">
        <v>498</v>
      </c>
      <c r="D194" s="5" t="s">
        <v>23</v>
      </c>
      <c r="E194" s="7" t="s">
        <v>10</v>
      </c>
      <c r="F194" s="5" t="s">
        <v>210</v>
      </c>
      <c r="G194" s="5" t="s">
        <v>48</v>
      </c>
      <c r="H194" s="5" t="s">
        <v>49</v>
      </c>
      <c r="I194" s="5" t="s">
        <v>50</v>
      </c>
      <c r="J194" s="1" t="str">
        <f>HYPERLINK("http://www.alc.law","www.alc.law")</f>
        <v>www.alc.law</v>
      </c>
    </row>
    <row r="195" spans="2:10" x14ac:dyDescent="0.2">
      <c r="B195" s="3" t="s">
        <v>499</v>
      </c>
      <c r="C195" s="3" t="s">
        <v>500</v>
      </c>
      <c r="D195" s="3" t="s">
        <v>97</v>
      </c>
      <c r="E195" s="4">
        <v>1</v>
      </c>
      <c r="F195" s="3" t="s">
        <v>90</v>
      </c>
      <c r="G195" s="3" t="s">
        <v>84</v>
      </c>
      <c r="H195" s="3" t="s">
        <v>49</v>
      </c>
      <c r="I195" s="3" t="s">
        <v>85</v>
      </c>
      <c r="J195" s="6" t="str">
        <f>HYPERLINK("http://www.ararat.co.za","www.ararat.co.za")</f>
        <v>www.ararat.co.za</v>
      </c>
    </row>
    <row r="196" spans="2:10" x14ac:dyDescent="0.2">
      <c r="B196" s="5" t="s">
        <v>501</v>
      </c>
      <c r="C196" s="5" t="s">
        <v>502</v>
      </c>
      <c r="D196" s="5" t="s">
        <v>12</v>
      </c>
      <c r="E196" s="7" t="s">
        <v>10</v>
      </c>
      <c r="F196" s="5" t="s">
        <v>47</v>
      </c>
      <c r="G196" s="5" t="s">
        <v>48</v>
      </c>
      <c r="H196" s="5" t="s">
        <v>49</v>
      </c>
      <c r="I196" s="5" t="s">
        <v>50</v>
      </c>
      <c r="J196" s="1" t="str">
        <f>HYPERLINK("http://www.arccapital.com.eg","www.arccapital.com.eg")</f>
        <v>www.arccapital.com.eg</v>
      </c>
    </row>
    <row r="197" spans="2:10" x14ac:dyDescent="0.2">
      <c r="B197" s="3" t="s">
        <v>503</v>
      </c>
      <c r="C197" s="3" t="s">
        <v>504</v>
      </c>
      <c r="D197" s="3" t="s">
        <v>97</v>
      </c>
      <c r="E197" s="4" t="s">
        <v>10</v>
      </c>
      <c r="F197" s="3" t="s">
        <v>90</v>
      </c>
      <c r="G197" s="3" t="s">
        <v>84</v>
      </c>
      <c r="H197" s="3" t="s">
        <v>49</v>
      </c>
      <c r="I197" s="3" t="s">
        <v>85</v>
      </c>
      <c r="J197" s="6" t="str">
        <f>HYPERLINK("http://www.arcay.com","www.arcay.com")</f>
        <v>www.arcay.com</v>
      </c>
    </row>
    <row r="198" spans="2:10" x14ac:dyDescent="0.2">
      <c r="B198" s="5" t="s">
        <v>505</v>
      </c>
      <c r="C198" s="5" t="s">
        <v>10</v>
      </c>
      <c r="D198" s="5" t="s">
        <v>97</v>
      </c>
      <c r="E198" s="7" t="s">
        <v>10</v>
      </c>
      <c r="F198" s="5" t="s">
        <v>145</v>
      </c>
      <c r="G198" s="5" t="s">
        <v>146</v>
      </c>
      <c r="H198" s="5" t="s">
        <v>49</v>
      </c>
      <c r="I198" s="5" t="s">
        <v>50</v>
      </c>
      <c r="J198" s="1" t="str">
        <f>HYPERLINK("http://www.ardencapital.ma","www.ardencapital.ma")</f>
        <v>www.ardencapital.ma</v>
      </c>
    </row>
    <row r="199" spans="2:10" x14ac:dyDescent="0.2">
      <c r="B199" s="3" t="s">
        <v>506</v>
      </c>
      <c r="C199" s="3" t="s">
        <v>507</v>
      </c>
      <c r="D199" s="3" t="s">
        <v>30</v>
      </c>
      <c r="E199" s="4">
        <v>3457</v>
      </c>
      <c r="F199" s="3" t="s">
        <v>229</v>
      </c>
      <c r="G199" s="3" t="s">
        <v>14</v>
      </c>
      <c r="H199" s="3" t="s">
        <v>15</v>
      </c>
      <c r="I199" s="3" t="s">
        <v>16</v>
      </c>
      <c r="J199" s="6" t="str">
        <f>HYPERLINK("http://www.aresmgmt.com","www.aresmgmt.com")</f>
        <v>www.aresmgmt.com</v>
      </c>
    </row>
    <row r="200" spans="2:10" x14ac:dyDescent="0.2">
      <c r="B200" s="5" t="s">
        <v>508</v>
      </c>
      <c r="C200" s="5" t="s">
        <v>509</v>
      </c>
      <c r="D200" s="5" t="s">
        <v>23</v>
      </c>
      <c r="E200" s="7">
        <v>64</v>
      </c>
      <c r="F200" s="5" t="s">
        <v>510</v>
      </c>
      <c r="G200" s="5" t="s">
        <v>511</v>
      </c>
      <c r="H200" s="5" t="s">
        <v>236</v>
      </c>
      <c r="I200" s="5" t="s">
        <v>512</v>
      </c>
      <c r="J200" s="1" t="str">
        <f>HYPERLINK("http://www.aymp.law","www.aymp.law")</f>
        <v>www.aymp.law</v>
      </c>
    </row>
    <row r="201" spans="2:10" x14ac:dyDescent="0.2">
      <c r="B201" s="3" t="s">
        <v>513</v>
      </c>
      <c r="C201" s="3" t="s">
        <v>514</v>
      </c>
      <c r="D201" s="3" t="s">
        <v>23</v>
      </c>
      <c r="E201" s="4">
        <v>2366</v>
      </c>
      <c r="F201" s="3" t="s">
        <v>37</v>
      </c>
      <c r="G201" s="3" t="s">
        <v>14</v>
      </c>
      <c r="H201" s="3" t="s">
        <v>15</v>
      </c>
      <c r="I201" s="3" t="s">
        <v>16</v>
      </c>
      <c r="J201" s="6" t="str">
        <f>HYPERLINK("http://www.arnoldporter.com","www.arnoldporter.com")</f>
        <v>www.arnoldporter.com</v>
      </c>
    </row>
    <row r="202" spans="2:10" x14ac:dyDescent="0.2">
      <c r="B202" s="5" t="s">
        <v>515</v>
      </c>
      <c r="C202" s="5" t="s">
        <v>516</v>
      </c>
      <c r="D202" s="5" t="s">
        <v>12</v>
      </c>
      <c r="E202" s="7">
        <v>175</v>
      </c>
      <c r="F202" s="5" t="s">
        <v>517</v>
      </c>
      <c r="G202" s="5" t="s">
        <v>275</v>
      </c>
      <c r="H202" s="5" t="s">
        <v>223</v>
      </c>
      <c r="I202" s="5" t="s">
        <v>223</v>
      </c>
      <c r="J202" s="1" t="str">
        <f>HYPERLINK("http://www.arqaamcapital.com","www.arqaamcapital.com")</f>
        <v>www.arqaamcapital.com</v>
      </c>
    </row>
    <row r="203" spans="2:10" x14ac:dyDescent="0.2">
      <c r="B203" s="3" t="s">
        <v>518</v>
      </c>
      <c r="C203" s="3" t="s">
        <v>519</v>
      </c>
      <c r="D203" s="3" t="s">
        <v>12</v>
      </c>
      <c r="E203" s="4" t="s">
        <v>10</v>
      </c>
      <c r="F203" s="3" t="s">
        <v>145</v>
      </c>
      <c r="G203" s="3" t="s">
        <v>146</v>
      </c>
      <c r="H203" s="3" t="s">
        <v>49</v>
      </c>
      <c r="I203" s="3" t="s">
        <v>50</v>
      </c>
      <c r="J203" s="6" t="str">
        <f>HYPERLINK("http://www.ascent-cp.com","www.ascent-cp.com")</f>
        <v>www.ascent-cp.com</v>
      </c>
    </row>
    <row r="204" spans="2:10" x14ac:dyDescent="0.2">
      <c r="B204" s="5" t="s">
        <v>520</v>
      </c>
      <c r="C204" s="5" t="s">
        <v>521</v>
      </c>
      <c r="D204" s="5" t="s">
        <v>195</v>
      </c>
      <c r="E204" s="7">
        <v>191</v>
      </c>
      <c r="F204" s="5" t="s">
        <v>522</v>
      </c>
      <c r="G204" s="5" t="s">
        <v>25</v>
      </c>
      <c r="H204" s="5" t="s">
        <v>26</v>
      </c>
      <c r="I204" s="5" t="s">
        <v>27</v>
      </c>
      <c r="J204" s="1" t="str">
        <f>HYPERLINK("http://www.ashburtoninvestments.com","www.ashburtoninvestments.com")</f>
        <v>www.ashburtoninvestments.com</v>
      </c>
    </row>
    <row r="205" spans="2:10" x14ac:dyDescent="0.2">
      <c r="B205" s="3" t="s">
        <v>523</v>
      </c>
      <c r="C205" s="3" t="s">
        <v>524</v>
      </c>
      <c r="D205" s="3" t="s">
        <v>23</v>
      </c>
      <c r="E205" s="4">
        <v>4880</v>
      </c>
      <c r="F205" s="3" t="s">
        <v>24</v>
      </c>
      <c r="G205" s="3" t="s">
        <v>25</v>
      </c>
      <c r="H205" s="3" t="s">
        <v>26</v>
      </c>
      <c r="I205" s="3" t="s">
        <v>27</v>
      </c>
      <c r="J205" s="6" t="str">
        <f>HYPERLINK("http://www.ashurst.com","www.ashurst.com")</f>
        <v>www.ashurst.com</v>
      </c>
    </row>
    <row r="206" spans="2:10" x14ac:dyDescent="0.2">
      <c r="B206" s="5" t="s">
        <v>525</v>
      </c>
      <c r="C206" s="5" t="s">
        <v>526</v>
      </c>
      <c r="D206" s="5" t="s">
        <v>12</v>
      </c>
      <c r="E206" s="7" t="s">
        <v>10</v>
      </c>
      <c r="F206" s="5" t="s">
        <v>527</v>
      </c>
      <c r="G206" s="5" t="s">
        <v>407</v>
      </c>
      <c r="H206" s="5" t="s">
        <v>236</v>
      </c>
      <c r="I206" s="5" t="s">
        <v>408</v>
      </c>
      <c r="J206" s="1" t="str">
        <f>HYPERLINK("http://www.aurumequity.com","www.aurumequity.com")</f>
        <v>www.aurumequity.com</v>
      </c>
    </row>
    <row r="207" spans="2:10" x14ac:dyDescent="0.2">
      <c r="B207" s="3" t="s">
        <v>528</v>
      </c>
      <c r="C207" s="3" t="s">
        <v>529</v>
      </c>
      <c r="D207" s="3" t="s">
        <v>97</v>
      </c>
      <c r="E207" s="4">
        <v>29</v>
      </c>
      <c r="F207" s="3" t="s">
        <v>93</v>
      </c>
      <c r="G207" s="3" t="s">
        <v>94</v>
      </c>
      <c r="H207" s="3" t="s">
        <v>26</v>
      </c>
      <c r="I207" s="3" t="s">
        <v>27</v>
      </c>
      <c r="J207" s="6" t="str">
        <f>HYPERLINK("http://www.avolta.io","www.avolta.io")</f>
        <v>www.avolta.io</v>
      </c>
    </row>
    <row r="208" spans="2:10" x14ac:dyDescent="0.2">
      <c r="B208" s="5" t="s">
        <v>530</v>
      </c>
      <c r="C208" s="5" t="s">
        <v>10</v>
      </c>
      <c r="D208" s="5" t="s">
        <v>97</v>
      </c>
      <c r="E208" s="7" t="s">
        <v>10</v>
      </c>
      <c r="F208" s="5" t="s">
        <v>284</v>
      </c>
      <c r="G208" s="5" t="s">
        <v>285</v>
      </c>
      <c r="H208" s="5" t="s">
        <v>26</v>
      </c>
      <c r="I208" s="5" t="s">
        <v>286</v>
      </c>
      <c r="J208" s="5" t="s">
        <v>10</v>
      </c>
    </row>
    <row r="209" spans="2:10" x14ac:dyDescent="0.2">
      <c r="B209" s="3" t="s">
        <v>531</v>
      </c>
      <c r="C209" s="3" t="s">
        <v>532</v>
      </c>
      <c r="D209" s="3" t="s">
        <v>30</v>
      </c>
      <c r="E209" s="4">
        <v>191</v>
      </c>
      <c r="F209" s="3" t="s">
        <v>207</v>
      </c>
      <c r="G209" s="3" t="s">
        <v>14</v>
      </c>
      <c r="H209" s="3" t="s">
        <v>15</v>
      </c>
      <c r="I209" s="3" t="s">
        <v>16</v>
      </c>
      <c r="J209" s="6" t="str">
        <f>HYPERLINK("http://www.baincapitalcredit.com","www.baincapitalcredit.com")</f>
        <v>www.baincapitalcredit.com</v>
      </c>
    </row>
    <row r="210" spans="2:10" x14ac:dyDescent="0.2">
      <c r="B210" s="5" t="s">
        <v>533</v>
      </c>
      <c r="C210" s="5" t="s">
        <v>534</v>
      </c>
      <c r="D210" s="5" t="s">
        <v>44</v>
      </c>
      <c r="E210" s="7">
        <v>828</v>
      </c>
      <c r="F210" s="5" t="s">
        <v>535</v>
      </c>
      <c r="G210" s="5" t="s">
        <v>64</v>
      </c>
      <c r="H210" s="5" t="s">
        <v>26</v>
      </c>
      <c r="I210" s="5" t="s">
        <v>27</v>
      </c>
      <c r="J210" s="1" t="str">
        <f>HYPERLINK("http://www.bakertilly.de","www.bakertilly.de")</f>
        <v>www.bakertilly.de</v>
      </c>
    </row>
    <row r="211" spans="2:10" x14ac:dyDescent="0.2">
      <c r="B211" s="3" t="s">
        <v>536</v>
      </c>
      <c r="C211" s="3" t="s">
        <v>537</v>
      </c>
      <c r="D211" s="3" t="s">
        <v>12</v>
      </c>
      <c r="E211" s="4">
        <v>9</v>
      </c>
      <c r="F211" s="3" t="s">
        <v>145</v>
      </c>
      <c r="G211" s="3" t="s">
        <v>146</v>
      </c>
      <c r="H211" s="3" t="s">
        <v>49</v>
      </c>
      <c r="I211" s="3" t="s">
        <v>50</v>
      </c>
      <c r="J211" s="6" t="str">
        <f>HYPERLINK("http://www.bakertillyburjfinance.com","www.bakertillyburjfinance.com")</f>
        <v>www.bakertillyburjfinance.com</v>
      </c>
    </row>
    <row r="212" spans="2:10" x14ac:dyDescent="0.2">
      <c r="B212" s="5" t="s">
        <v>538</v>
      </c>
      <c r="C212" s="5" t="s">
        <v>539</v>
      </c>
      <c r="D212" s="5" t="s">
        <v>189</v>
      </c>
      <c r="E212" s="7" t="s">
        <v>10</v>
      </c>
      <c r="F212" s="5" t="s">
        <v>540</v>
      </c>
      <c r="G212" s="5" t="s">
        <v>541</v>
      </c>
      <c r="H212" s="5" t="s">
        <v>49</v>
      </c>
      <c r="I212" s="5" t="s">
        <v>58</v>
      </c>
      <c r="J212" s="1" t="str">
        <f>HYPERLINK("http://www.boad.org","www.boad.org")</f>
        <v>www.boad.org</v>
      </c>
    </row>
    <row r="213" spans="2:10" x14ac:dyDescent="0.2">
      <c r="B213" s="3" t="s">
        <v>542</v>
      </c>
      <c r="C213" s="3" t="s">
        <v>543</v>
      </c>
      <c r="D213" s="3" t="s">
        <v>30</v>
      </c>
      <c r="E213" s="4">
        <v>1966</v>
      </c>
      <c r="F213" s="3" t="s">
        <v>73</v>
      </c>
      <c r="G213" s="3" t="s">
        <v>14</v>
      </c>
      <c r="H213" s="3" t="s">
        <v>15</v>
      </c>
      <c r="I213" s="3" t="s">
        <v>16</v>
      </c>
      <c r="J213" s="6" t="str">
        <f>HYPERLINK("http://www.barings.com","www.barings.com")</f>
        <v>www.barings.com</v>
      </c>
    </row>
    <row r="214" spans="2:10" x14ac:dyDescent="0.2">
      <c r="B214" s="5" t="s">
        <v>544</v>
      </c>
      <c r="C214" s="5" t="s">
        <v>545</v>
      </c>
      <c r="D214" s="5" t="s">
        <v>23</v>
      </c>
      <c r="E214" s="7" t="s">
        <v>10</v>
      </c>
      <c r="F214" s="5" t="s">
        <v>122</v>
      </c>
      <c r="G214" s="5" t="s">
        <v>14</v>
      </c>
      <c r="H214" s="5" t="s">
        <v>15</v>
      </c>
      <c r="I214" s="5" t="s">
        <v>16</v>
      </c>
      <c r="J214" s="1" t="str">
        <f>HYPERLINK("http://www.bastillelegal.com","www.bastillelegal.com")</f>
        <v>www.bastillelegal.com</v>
      </c>
    </row>
    <row r="215" spans="2:10" x14ac:dyDescent="0.2">
      <c r="B215" s="3" t="s">
        <v>546</v>
      </c>
      <c r="C215" s="3" t="s">
        <v>547</v>
      </c>
      <c r="D215" s="3" t="s">
        <v>30</v>
      </c>
      <c r="E215" s="4">
        <v>368</v>
      </c>
      <c r="F215" s="3" t="s">
        <v>24</v>
      </c>
      <c r="G215" s="3" t="s">
        <v>25</v>
      </c>
      <c r="H215" s="3" t="s">
        <v>26</v>
      </c>
      <c r="I215" s="3" t="s">
        <v>27</v>
      </c>
      <c r="J215" s="6" t="str">
        <f>HYPERLINK("http://www.bcpartners.com","www.bcpartners.com")</f>
        <v>www.bcpartners.com</v>
      </c>
    </row>
    <row r="216" spans="2:10" x14ac:dyDescent="0.2">
      <c r="B216" s="5" t="s">
        <v>548</v>
      </c>
      <c r="C216" s="5" t="s">
        <v>549</v>
      </c>
      <c r="D216" s="5" t="s">
        <v>44</v>
      </c>
      <c r="E216" s="7">
        <v>3500</v>
      </c>
      <c r="F216" s="5" t="s">
        <v>550</v>
      </c>
      <c r="G216" s="5" t="s">
        <v>551</v>
      </c>
      <c r="H216" s="5" t="s">
        <v>552</v>
      </c>
      <c r="I216" s="5" t="s">
        <v>552</v>
      </c>
      <c r="J216" s="1" t="str">
        <f>HYPERLINK("http://www.bdo.com.au","www.bdo.com.au")</f>
        <v>www.bdo.com.au</v>
      </c>
    </row>
    <row r="217" spans="2:10" x14ac:dyDescent="0.2">
      <c r="B217" s="3" t="s">
        <v>553</v>
      </c>
      <c r="C217" s="3" t="s">
        <v>554</v>
      </c>
      <c r="D217" s="3" t="s">
        <v>12</v>
      </c>
      <c r="E217" s="4">
        <v>31</v>
      </c>
      <c r="F217" s="3" t="s">
        <v>207</v>
      </c>
      <c r="G217" s="3" t="s">
        <v>14</v>
      </c>
      <c r="H217" s="3" t="s">
        <v>15</v>
      </c>
      <c r="I217" s="3" t="s">
        <v>16</v>
      </c>
      <c r="J217" s="6" t="str">
        <f>HYPERLINK("http://www.bdocap.com","www.bdocap.com")</f>
        <v>www.bdocap.com</v>
      </c>
    </row>
    <row r="218" spans="2:10" x14ac:dyDescent="0.2">
      <c r="B218" s="5" t="s">
        <v>555</v>
      </c>
      <c r="C218" s="5" t="s">
        <v>556</v>
      </c>
      <c r="D218" s="5" t="s">
        <v>44</v>
      </c>
      <c r="E218" s="7">
        <v>6847</v>
      </c>
      <c r="F218" s="5" t="s">
        <v>24</v>
      </c>
      <c r="G218" s="5" t="s">
        <v>25</v>
      </c>
      <c r="H218" s="5" t="s">
        <v>26</v>
      </c>
      <c r="I218" s="5" t="s">
        <v>27</v>
      </c>
      <c r="J218" s="1" t="str">
        <f>HYPERLINK("http://www.bdo.co.uk","www.bdo.co.uk")</f>
        <v>www.bdo.co.uk</v>
      </c>
    </row>
    <row r="219" spans="2:10" x14ac:dyDescent="0.2">
      <c r="B219" s="3" t="s">
        <v>557</v>
      </c>
      <c r="C219" s="3" t="s">
        <v>558</v>
      </c>
      <c r="D219" s="3" t="s">
        <v>97</v>
      </c>
      <c r="E219" s="4">
        <v>541</v>
      </c>
      <c r="F219" s="3" t="s">
        <v>559</v>
      </c>
      <c r="G219" s="3" t="s">
        <v>551</v>
      </c>
      <c r="H219" s="3" t="s">
        <v>552</v>
      </c>
      <c r="I219" s="3" t="s">
        <v>552</v>
      </c>
      <c r="J219" s="6" t="str">
        <f>HYPERLINK("http://www.bellpotter.com.au","www.bellpotter.com.au")</f>
        <v>www.bellpotter.com.au</v>
      </c>
    </row>
    <row r="220" spans="2:10" x14ac:dyDescent="0.2">
      <c r="B220" s="5" t="s">
        <v>560</v>
      </c>
      <c r="C220" s="5" t="s">
        <v>561</v>
      </c>
      <c r="D220" s="5" t="s">
        <v>97</v>
      </c>
      <c r="E220" s="7">
        <v>36</v>
      </c>
      <c r="F220" s="5" t="s">
        <v>562</v>
      </c>
      <c r="G220" s="5" t="s">
        <v>563</v>
      </c>
      <c r="H220" s="5" t="s">
        <v>223</v>
      </c>
      <c r="I220" s="5" t="s">
        <v>223</v>
      </c>
      <c r="J220" s="1" t="str">
        <f>HYPERLINK("http://www.bsec-sa.com","www.bsec-sa.com")</f>
        <v>www.bsec-sa.com</v>
      </c>
    </row>
    <row r="221" spans="2:10" x14ac:dyDescent="0.2">
      <c r="B221" s="3" t="s">
        <v>564</v>
      </c>
      <c r="C221" s="3" t="s">
        <v>565</v>
      </c>
      <c r="D221" s="3" t="s">
        <v>23</v>
      </c>
      <c r="E221" s="4">
        <v>69</v>
      </c>
      <c r="F221" s="3" t="s">
        <v>566</v>
      </c>
      <c r="G221" s="3" t="s">
        <v>25</v>
      </c>
      <c r="H221" s="3" t="s">
        <v>26</v>
      </c>
      <c r="I221" s="3" t="s">
        <v>27</v>
      </c>
      <c r="J221" s="6" t="str">
        <f>HYPERLINK("http://www.berrysmith.com","www.berrysmith.com")</f>
        <v>www.berrysmith.com</v>
      </c>
    </row>
    <row r="222" spans="2:10" x14ac:dyDescent="0.2">
      <c r="B222" s="5" t="s">
        <v>567</v>
      </c>
      <c r="C222" s="5" t="s">
        <v>568</v>
      </c>
      <c r="D222" s="5" t="s">
        <v>44</v>
      </c>
      <c r="E222" s="7">
        <v>106</v>
      </c>
      <c r="F222" s="5" t="s">
        <v>569</v>
      </c>
      <c r="G222" s="5" t="s">
        <v>25</v>
      </c>
      <c r="H222" s="5" t="s">
        <v>26</v>
      </c>
      <c r="I222" s="5" t="s">
        <v>27</v>
      </c>
      <c r="J222" s="1" t="str">
        <f>HYPERLINK("http://www.bevanbuckland.co.uk","www.bevanbuckland.co.uk")</f>
        <v>www.bevanbuckland.co.uk</v>
      </c>
    </row>
    <row r="223" spans="2:10" x14ac:dyDescent="0.2">
      <c r="B223" s="3" t="s">
        <v>570</v>
      </c>
      <c r="C223" s="3" t="s">
        <v>571</v>
      </c>
      <c r="D223" s="3" t="s">
        <v>134</v>
      </c>
      <c r="E223" s="4" t="s">
        <v>10</v>
      </c>
      <c r="F223" s="3" t="s">
        <v>13</v>
      </c>
      <c r="G223" s="3" t="s">
        <v>14</v>
      </c>
      <c r="H223" s="3" t="s">
        <v>15</v>
      </c>
      <c r="I223" s="3" t="s">
        <v>16</v>
      </c>
      <c r="J223" s="6" t="str">
        <f>HYPERLINK("http://www.beyondcapitalfund.org","www.beyondcapitalfund.org")</f>
        <v>www.beyondcapitalfund.org</v>
      </c>
    </row>
    <row r="224" spans="2:10" x14ac:dyDescent="0.2">
      <c r="B224" s="5" t="s">
        <v>572</v>
      </c>
      <c r="C224" s="5" t="s">
        <v>10</v>
      </c>
      <c r="D224" s="5" t="s">
        <v>97</v>
      </c>
      <c r="E224" s="7" t="s">
        <v>10</v>
      </c>
      <c r="F224" s="5" t="s">
        <v>573</v>
      </c>
      <c r="G224" s="5" t="s">
        <v>407</v>
      </c>
      <c r="H224" s="5" t="s">
        <v>236</v>
      </c>
      <c r="I224" s="5" t="s">
        <v>408</v>
      </c>
      <c r="J224" s="1" t="str">
        <f>HYPERLINK("http://www.bilanzcapital.com","www.bilanzcapital.com")</f>
        <v>www.bilanzcapital.com</v>
      </c>
    </row>
    <row r="225" spans="2:10" x14ac:dyDescent="0.2">
      <c r="B225" s="3" t="s">
        <v>574</v>
      </c>
      <c r="C225" s="3" t="s">
        <v>575</v>
      </c>
      <c r="D225" s="3" t="s">
        <v>97</v>
      </c>
      <c r="E225" s="4">
        <v>16</v>
      </c>
      <c r="F225" s="3" t="s">
        <v>90</v>
      </c>
      <c r="G225" s="3" t="s">
        <v>84</v>
      </c>
      <c r="H225" s="3" t="s">
        <v>49</v>
      </c>
      <c r="I225" s="3" t="s">
        <v>85</v>
      </c>
      <c r="J225" s="6" t="str">
        <f>HYPERLINK("http://bsm.international","bsm.international")</f>
        <v>bsm.international</v>
      </c>
    </row>
    <row r="226" spans="2:10" x14ac:dyDescent="0.2">
      <c r="B226" s="5" t="s">
        <v>576</v>
      </c>
      <c r="C226" s="5" t="s">
        <v>577</v>
      </c>
      <c r="D226" s="5" t="s">
        <v>30</v>
      </c>
      <c r="E226" s="7">
        <v>7248</v>
      </c>
      <c r="F226" s="5" t="s">
        <v>13</v>
      </c>
      <c r="G226" s="5" t="s">
        <v>14</v>
      </c>
      <c r="H226" s="5" t="s">
        <v>15</v>
      </c>
      <c r="I226" s="5" t="s">
        <v>16</v>
      </c>
      <c r="J226" s="1" t="str">
        <f>HYPERLINK("http://www.blackstone.com","www.blackstone.com")</f>
        <v>www.blackstone.com</v>
      </c>
    </row>
    <row r="227" spans="2:10" x14ac:dyDescent="0.2">
      <c r="B227" s="3" t="s">
        <v>578</v>
      </c>
      <c r="C227" s="3" t="s">
        <v>579</v>
      </c>
      <c r="D227" s="3" t="s">
        <v>23</v>
      </c>
      <c r="E227" s="4">
        <v>9</v>
      </c>
      <c r="F227" s="3" t="s">
        <v>580</v>
      </c>
      <c r="G227" s="3" t="s">
        <v>107</v>
      </c>
      <c r="H227" s="3" t="s">
        <v>26</v>
      </c>
      <c r="I227" s="3" t="s">
        <v>27</v>
      </c>
      <c r="J227" s="6" t="str">
        <f>HYPERLINK("http://www.blatterlegal.com","www.blatterlegal.com")</f>
        <v>www.blatterlegal.com</v>
      </c>
    </row>
    <row r="228" spans="2:10" x14ac:dyDescent="0.2">
      <c r="B228" s="5" t="s">
        <v>581</v>
      </c>
      <c r="C228" s="5" t="s">
        <v>582</v>
      </c>
      <c r="D228" s="5" t="s">
        <v>23</v>
      </c>
      <c r="E228" s="7">
        <v>51</v>
      </c>
      <c r="F228" s="5" t="s">
        <v>583</v>
      </c>
      <c r="G228" s="5" t="s">
        <v>584</v>
      </c>
      <c r="H228" s="5" t="s">
        <v>49</v>
      </c>
      <c r="I228" s="5" t="s">
        <v>78</v>
      </c>
      <c r="J228" s="1" t="str">
        <f>HYPERLINK("http://www.blc.mu","www.blc.mu")</f>
        <v>www.blc.mu</v>
      </c>
    </row>
    <row r="229" spans="2:10" x14ac:dyDescent="0.2">
      <c r="B229" s="3" t="s">
        <v>585</v>
      </c>
      <c r="C229" s="3" t="s">
        <v>586</v>
      </c>
      <c r="D229" s="3" t="s">
        <v>189</v>
      </c>
      <c r="E229" s="4">
        <v>55</v>
      </c>
      <c r="F229" s="3" t="s">
        <v>587</v>
      </c>
      <c r="G229" s="3" t="s">
        <v>41</v>
      </c>
      <c r="H229" s="3" t="s">
        <v>26</v>
      </c>
      <c r="I229" s="3" t="s">
        <v>27</v>
      </c>
      <c r="J229" s="6" t="str">
        <f>HYPERLINK("http://www.blueearth.capital","www.blueearth.capital")</f>
        <v>www.blueearth.capital</v>
      </c>
    </row>
    <row r="230" spans="2:10" x14ac:dyDescent="0.2">
      <c r="B230" s="5" t="s">
        <v>588</v>
      </c>
      <c r="C230" s="5" t="s">
        <v>589</v>
      </c>
      <c r="D230" s="5" t="s">
        <v>33</v>
      </c>
      <c r="E230" s="7" t="s">
        <v>10</v>
      </c>
      <c r="F230" s="5" t="s">
        <v>145</v>
      </c>
      <c r="G230" s="5" t="s">
        <v>146</v>
      </c>
      <c r="H230" s="5" t="s">
        <v>49</v>
      </c>
      <c r="I230" s="5" t="s">
        <v>50</v>
      </c>
      <c r="J230" s="1" t="str">
        <f>HYPERLINK("http://www.ir-bankofafrica.ma","www.ir-bankofafrica.ma")</f>
        <v>www.ir-bankofafrica.ma</v>
      </c>
    </row>
    <row r="231" spans="2:10" x14ac:dyDescent="0.2">
      <c r="B231" s="3" t="s">
        <v>590</v>
      </c>
      <c r="C231" s="3" t="s">
        <v>591</v>
      </c>
      <c r="D231" s="3" t="s">
        <v>12</v>
      </c>
      <c r="E231" s="4">
        <v>905</v>
      </c>
      <c r="F231" s="3" t="s">
        <v>145</v>
      </c>
      <c r="G231" s="3" t="s">
        <v>146</v>
      </c>
      <c r="H231" s="3" t="s">
        <v>49</v>
      </c>
      <c r="I231" s="3" t="s">
        <v>50</v>
      </c>
      <c r="J231" s="6" t="str">
        <f>HYPERLINK("http://www.bmcecapital.com","www.bmcecapital.com")</f>
        <v>www.bmcecapital.com</v>
      </c>
    </row>
    <row r="232" spans="2:10" x14ac:dyDescent="0.2">
      <c r="B232" s="5" t="s">
        <v>592</v>
      </c>
      <c r="C232" s="5" t="s">
        <v>593</v>
      </c>
      <c r="D232" s="5" t="s">
        <v>33</v>
      </c>
      <c r="E232" s="7">
        <v>57302</v>
      </c>
      <c r="F232" s="5" t="s">
        <v>249</v>
      </c>
      <c r="G232" s="5" t="s">
        <v>250</v>
      </c>
      <c r="H232" s="5" t="s">
        <v>15</v>
      </c>
      <c r="I232" s="5" t="s">
        <v>16</v>
      </c>
      <c r="J232" s="1" t="str">
        <f>HYPERLINK("http://www.bmo.com","www.bmo.com")</f>
        <v>www.bmo.com</v>
      </c>
    </row>
    <row r="233" spans="2:10" x14ac:dyDescent="0.2">
      <c r="B233" s="3" t="s">
        <v>594</v>
      </c>
      <c r="C233" s="3" t="s">
        <v>595</v>
      </c>
      <c r="D233" s="3" t="s">
        <v>12</v>
      </c>
      <c r="E233" s="4" t="s">
        <v>10</v>
      </c>
      <c r="F233" s="3" t="s">
        <v>13</v>
      </c>
      <c r="G233" s="3" t="s">
        <v>14</v>
      </c>
      <c r="H233" s="3" t="s">
        <v>15</v>
      </c>
      <c r="I233" s="3" t="s">
        <v>16</v>
      </c>
      <c r="J233" s="3" t="s">
        <v>10</v>
      </c>
    </row>
    <row r="234" spans="2:10" x14ac:dyDescent="0.2">
      <c r="B234" s="5" t="s">
        <v>596</v>
      </c>
      <c r="C234" s="5" t="s">
        <v>10</v>
      </c>
      <c r="D234" s="5" t="s">
        <v>36</v>
      </c>
      <c r="E234" s="7" t="s">
        <v>10</v>
      </c>
      <c r="F234" s="5" t="s">
        <v>597</v>
      </c>
      <c r="G234" s="5" t="s">
        <v>64</v>
      </c>
      <c r="H234" s="5" t="s">
        <v>26</v>
      </c>
      <c r="I234" s="5" t="s">
        <v>27</v>
      </c>
      <c r="J234" s="1" t="str">
        <f>HYPERLINK("http://www.boehringer-ingelheim.com","www.boehringer-ingelheim.com")</f>
        <v>www.boehringer-ingelheim.com</v>
      </c>
    </row>
    <row r="235" spans="2:10" x14ac:dyDescent="0.2">
      <c r="B235" s="3" t="s">
        <v>598</v>
      </c>
      <c r="C235" s="3" t="s">
        <v>599</v>
      </c>
      <c r="D235" s="3" t="s">
        <v>331</v>
      </c>
      <c r="E235" s="4">
        <v>37104</v>
      </c>
      <c r="F235" s="3" t="s">
        <v>207</v>
      </c>
      <c r="G235" s="3" t="s">
        <v>14</v>
      </c>
      <c r="H235" s="3" t="s">
        <v>15</v>
      </c>
      <c r="I235" s="3" t="s">
        <v>16</v>
      </c>
      <c r="J235" s="6" t="str">
        <f>HYPERLINK("http://www.bcg.com","www.bcg.com")</f>
        <v>www.bcg.com</v>
      </c>
    </row>
    <row r="236" spans="2:10" x14ac:dyDescent="0.2">
      <c r="B236" s="5" t="s">
        <v>600</v>
      </c>
      <c r="C236" s="5" t="s">
        <v>601</v>
      </c>
      <c r="D236" s="5" t="s">
        <v>12</v>
      </c>
      <c r="E236" s="7">
        <v>30</v>
      </c>
      <c r="F236" s="5" t="s">
        <v>207</v>
      </c>
      <c r="G236" s="5" t="s">
        <v>14</v>
      </c>
      <c r="H236" s="5" t="s">
        <v>15</v>
      </c>
      <c r="I236" s="5" t="s">
        <v>16</v>
      </c>
      <c r="J236" s="1" t="str">
        <f>HYPERLINK("http://www.boweninc.com","www.boweninc.com")</f>
        <v>www.boweninc.com</v>
      </c>
    </row>
    <row r="237" spans="2:10" x14ac:dyDescent="0.2">
      <c r="B237" s="3" t="s">
        <v>602</v>
      </c>
      <c r="C237" s="3" t="s">
        <v>603</v>
      </c>
      <c r="D237" s="3" t="s">
        <v>30</v>
      </c>
      <c r="E237" s="4">
        <v>5797</v>
      </c>
      <c r="F237" s="3" t="s">
        <v>93</v>
      </c>
      <c r="G237" s="3" t="s">
        <v>94</v>
      </c>
      <c r="H237" s="3" t="s">
        <v>26</v>
      </c>
      <c r="I237" s="3" t="s">
        <v>27</v>
      </c>
      <c r="J237" s="6" t="str">
        <f>HYPERLINK("http://www.bpifrance.fr","www.bpifrance.fr")</f>
        <v>www.bpifrance.fr</v>
      </c>
    </row>
    <row r="238" spans="2:10" x14ac:dyDescent="0.2">
      <c r="B238" s="5" t="s">
        <v>604</v>
      </c>
      <c r="C238" s="5" t="s">
        <v>605</v>
      </c>
      <c r="D238" s="5" t="s">
        <v>23</v>
      </c>
      <c r="E238" s="7">
        <v>74</v>
      </c>
      <c r="F238" s="5" t="s">
        <v>606</v>
      </c>
      <c r="G238" s="5" t="s">
        <v>607</v>
      </c>
      <c r="H238" s="5" t="s">
        <v>26</v>
      </c>
      <c r="I238" s="5" t="s">
        <v>27</v>
      </c>
      <c r="J238" s="1" t="str">
        <f>HYPERLINK("http://www.brandltalos.com","www.brandltalos.com")</f>
        <v>www.brandltalos.com</v>
      </c>
    </row>
    <row r="239" spans="2:10" x14ac:dyDescent="0.2">
      <c r="B239" s="3" t="s">
        <v>608</v>
      </c>
      <c r="C239" s="3" t="s">
        <v>609</v>
      </c>
      <c r="D239" s="3" t="s">
        <v>30</v>
      </c>
      <c r="E239" s="4">
        <v>655</v>
      </c>
      <c r="F239" s="3" t="s">
        <v>24</v>
      </c>
      <c r="G239" s="3" t="s">
        <v>25</v>
      </c>
      <c r="H239" s="3" t="s">
        <v>26</v>
      </c>
      <c r="I239" s="3" t="s">
        <v>27</v>
      </c>
      <c r="J239" s="6" t="str">
        <f>HYPERLINK("http://www.bii.co.uk","www.bii.co.uk")</f>
        <v>www.bii.co.uk</v>
      </c>
    </row>
    <row r="240" spans="2:10" x14ac:dyDescent="0.2">
      <c r="B240" s="5" t="s">
        <v>610</v>
      </c>
      <c r="C240" s="5" t="s">
        <v>611</v>
      </c>
      <c r="D240" s="5" t="s">
        <v>33</v>
      </c>
      <c r="E240" s="7">
        <v>626</v>
      </c>
      <c r="F240" s="5" t="s">
        <v>612</v>
      </c>
      <c r="G240" s="5" t="s">
        <v>14</v>
      </c>
      <c r="H240" s="5" t="s">
        <v>15</v>
      </c>
      <c r="I240" s="5" t="s">
        <v>16</v>
      </c>
      <c r="J240" s="1" t="str">
        <f>HYPERLINK("http://broadway.bank","broadway.bank")</f>
        <v>broadway.bank</v>
      </c>
    </row>
    <row r="241" spans="2:10" x14ac:dyDescent="0.2">
      <c r="B241" s="3" t="s">
        <v>613</v>
      </c>
      <c r="C241" s="3" t="s">
        <v>614</v>
      </c>
      <c r="D241" s="3" t="s">
        <v>23</v>
      </c>
      <c r="E241" s="4">
        <v>468</v>
      </c>
      <c r="F241" s="3" t="s">
        <v>207</v>
      </c>
      <c r="G241" s="3" t="s">
        <v>14</v>
      </c>
      <c r="H241" s="3" t="s">
        <v>15</v>
      </c>
      <c r="I241" s="3" t="s">
        <v>16</v>
      </c>
      <c r="J241" s="6" t="str">
        <f>HYPERLINK("http://www.brownrudnick.com","www.brownrudnick.com")</f>
        <v>www.brownrudnick.com</v>
      </c>
    </row>
    <row r="242" spans="2:10" x14ac:dyDescent="0.2">
      <c r="B242" s="5" t="s">
        <v>615</v>
      </c>
      <c r="C242" s="5" t="s">
        <v>616</v>
      </c>
      <c r="D242" s="5" t="s">
        <v>12</v>
      </c>
      <c r="E242" s="7">
        <v>266</v>
      </c>
      <c r="F242" s="5" t="s">
        <v>24</v>
      </c>
      <c r="G242" s="5" t="s">
        <v>25</v>
      </c>
      <c r="H242" s="5" t="s">
        <v>26</v>
      </c>
      <c r="I242" s="5" t="s">
        <v>27</v>
      </c>
      <c r="J242" s="1" t="str">
        <f>HYPERLINK("http://www.bryangarnier.com","www.bryangarnier.com")</f>
        <v>www.bryangarnier.com</v>
      </c>
    </row>
    <row r="243" spans="2:10" x14ac:dyDescent="0.2">
      <c r="B243" s="3" t="s">
        <v>617</v>
      </c>
      <c r="C243" s="3" t="s">
        <v>618</v>
      </c>
      <c r="D243" s="3" t="s">
        <v>23</v>
      </c>
      <c r="E243" s="4" t="s">
        <v>10</v>
      </c>
      <c r="F243" s="3" t="s">
        <v>619</v>
      </c>
      <c r="G243" s="3" t="s">
        <v>146</v>
      </c>
      <c r="H243" s="3" t="s">
        <v>49</v>
      </c>
      <c r="I243" s="3" t="s">
        <v>50</v>
      </c>
      <c r="J243" s="3" t="s">
        <v>10</v>
      </c>
    </row>
    <row r="244" spans="2:10" x14ac:dyDescent="0.2">
      <c r="B244" s="5" t="s">
        <v>620</v>
      </c>
      <c r="C244" s="5" t="s">
        <v>621</v>
      </c>
      <c r="D244" s="5" t="s">
        <v>23</v>
      </c>
      <c r="E244" s="7">
        <v>71</v>
      </c>
      <c r="F244" s="5" t="s">
        <v>622</v>
      </c>
      <c r="G244" s="5" t="s">
        <v>25</v>
      </c>
      <c r="H244" s="5" t="s">
        <v>26</v>
      </c>
      <c r="I244" s="5" t="s">
        <v>27</v>
      </c>
      <c r="J244" s="1" t="str">
        <f>HYPERLINK("http://www.cains.com","www.cains.com")</f>
        <v>www.cains.com</v>
      </c>
    </row>
    <row r="245" spans="2:10" x14ac:dyDescent="0.2">
      <c r="B245" s="3" t="s">
        <v>623</v>
      </c>
      <c r="C245" s="3" t="s">
        <v>624</v>
      </c>
      <c r="D245" s="3" t="s">
        <v>331</v>
      </c>
      <c r="E245" s="4">
        <v>40</v>
      </c>
      <c r="F245" s="3" t="s">
        <v>24</v>
      </c>
      <c r="G245" s="3" t="s">
        <v>25</v>
      </c>
      <c r="H245" s="3" t="s">
        <v>26</v>
      </c>
      <c r="I245" s="3" t="s">
        <v>27</v>
      </c>
      <c r="J245" s="6" t="str">
        <f>HYPERLINK("http://www.candesic.com","www.candesic.com")</f>
        <v>www.candesic.com</v>
      </c>
    </row>
    <row r="246" spans="2:10" x14ac:dyDescent="0.2">
      <c r="B246" s="5" t="s">
        <v>625</v>
      </c>
      <c r="C246" s="5" t="s">
        <v>626</v>
      </c>
      <c r="D246" s="5" t="s">
        <v>23</v>
      </c>
      <c r="E246" s="7" t="s">
        <v>10</v>
      </c>
      <c r="F246" s="5" t="s">
        <v>13</v>
      </c>
      <c r="G246" s="5" t="s">
        <v>14</v>
      </c>
      <c r="H246" s="5" t="s">
        <v>15</v>
      </c>
      <c r="I246" s="5" t="s">
        <v>16</v>
      </c>
      <c r="J246" s="1" t="str">
        <f>HYPERLINK("http://www.capitalfundlaw.com","www.capitalfundlaw.com")</f>
        <v>www.capitalfundlaw.com</v>
      </c>
    </row>
    <row r="247" spans="2:10" x14ac:dyDescent="0.2">
      <c r="B247" s="3" t="s">
        <v>627</v>
      </c>
      <c r="C247" s="3" t="s">
        <v>628</v>
      </c>
      <c r="D247" s="3" t="s">
        <v>12</v>
      </c>
      <c r="E247" s="4">
        <v>151</v>
      </c>
      <c r="F247" s="3" t="s">
        <v>470</v>
      </c>
      <c r="G247" s="3" t="s">
        <v>14</v>
      </c>
      <c r="H247" s="3" t="s">
        <v>15</v>
      </c>
      <c r="I247" s="3" t="s">
        <v>16</v>
      </c>
      <c r="J247" s="6" t="str">
        <f>HYPERLINK("http://www.cascadiacapital.com","www.cascadiacapital.com")</f>
        <v>www.cascadiacapital.com</v>
      </c>
    </row>
    <row r="248" spans="2:10" x14ac:dyDescent="0.2">
      <c r="B248" s="5" t="s">
        <v>629</v>
      </c>
      <c r="C248" s="5" t="s">
        <v>630</v>
      </c>
      <c r="D248" s="5" t="s">
        <v>12</v>
      </c>
      <c r="E248" s="7">
        <v>182</v>
      </c>
      <c r="F248" s="5" t="s">
        <v>24</v>
      </c>
      <c r="G248" s="5" t="s">
        <v>25</v>
      </c>
      <c r="H248" s="5" t="s">
        <v>26</v>
      </c>
      <c r="I248" s="5" t="s">
        <v>27</v>
      </c>
      <c r="J248" s="1" t="str">
        <f>HYPERLINK("http://www.cavendish.com","www.cavendish.com")</f>
        <v>www.cavendish.com</v>
      </c>
    </row>
    <row r="249" spans="2:10" x14ac:dyDescent="0.2">
      <c r="B249" s="3" t="s">
        <v>631</v>
      </c>
      <c r="C249" s="3" t="s">
        <v>632</v>
      </c>
      <c r="D249" s="3" t="s">
        <v>97</v>
      </c>
      <c r="E249" s="4">
        <v>6</v>
      </c>
      <c r="F249" s="3" t="s">
        <v>98</v>
      </c>
      <c r="G249" s="3" t="s">
        <v>99</v>
      </c>
      <c r="H249" s="3" t="s">
        <v>49</v>
      </c>
      <c r="I249" s="3" t="s">
        <v>58</v>
      </c>
      <c r="J249" s="6" t="str">
        <f>HYPERLINK("http://www.cedargroup.ng","www.cedargroup.ng")</f>
        <v>www.cedargroup.ng</v>
      </c>
    </row>
    <row r="250" spans="2:10" x14ac:dyDescent="0.2">
      <c r="B250" s="5" t="s">
        <v>633</v>
      </c>
      <c r="C250" s="5" t="s">
        <v>634</v>
      </c>
      <c r="D250" s="5" t="s">
        <v>33</v>
      </c>
      <c r="E250" s="7">
        <v>230</v>
      </c>
      <c r="F250" s="5" t="s">
        <v>635</v>
      </c>
      <c r="G250" s="5" t="s">
        <v>14</v>
      </c>
      <c r="H250" s="5" t="s">
        <v>15</v>
      </c>
      <c r="I250" s="5" t="s">
        <v>16</v>
      </c>
      <c r="J250" s="1" t="str">
        <f>HYPERLINK("http://www.cfg.bank","www.cfg.bank")</f>
        <v>www.cfg.bank</v>
      </c>
    </row>
    <row r="251" spans="2:10" x14ac:dyDescent="0.2">
      <c r="B251" s="3" t="s">
        <v>636</v>
      </c>
      <c r="C251" s="3" t="s">
        <v>637</v>
      </c>
      <c r="D251" s="3" t="s">
        <v>33</v>
      </c>
      <c r="E251" s="4">
        <v>34275</v>
      </c>
      <c r="F251" s="3" t="s">
        <v>13</v>
      </c>
      <c r="G251" s="3" t="s">
        <v>14</v>
      </c>
      <c r="H251" s="3" t="s">
        <v>15</v>
      </c>
      <c r="I251" s="3" t="s">
        <v>16</v>
      </c>
      <c r="J251" s="6" t="str">
        <f>HYPERLINK("http://www.chase.com","www.chase.com")</f>
        <v>www.chase.com</v>
      </c>
    </row>
    <row r="252" spans="2:10" x14ac:dyDescent="0.2">
      <c r="B252" s="5" t="s">
        <v>638</v>
      </c>
      <c r="C252" s="5" t="s">
        <v>639</v>
      </c>
      <c r="D252" s="5" t="s">
        <v>23</v>
      </c>
      <c r="E252" s="7" t="s">
        <v>10</v>
      </c>
      <c r="F252" s="5" t="s">
        <v>640</v>
      </c>
      <c r="G252" s="5" t="s">
        <v>84</v>
      </c>
      <c r="H252" s="5" t="s">
        <v>49</v>
      </c>
      <c r="I252" s="5" t="s">
        <v>85</v>
      </c>
      <c r="J252" s="5" t="s">
        <v>10</v>
      </c>
    </row>
    <row r="253" spans="2:10" x14ac:dyDescent="0.2">
      <c r="B253" s="3" t="s">
        <v>641</v>
      </c>
      <c r="C253" s="3" t="s">
        <v>642</v>
      </c>
      <c r="D253" s="3" t="s">
        <v>12</v>
      </c>
      <c r="E253" s="4">
        <v>1700</v>
      </c>
      <c r="F253" s="3" t="s">
        <v>643</v>
      </c>
      <c r="G253" s="3" t="s">
        <v>48</v>
      </c>
      <c r="H253" s="3" t="s">
        <v>49</v>
      </c>
      <c r="I253" s="3" t="s">
        <v>50</v>
      </c>
      <c r="J253" s="6" t="str">
        <f>HYPERLINK("http://www.cicapital.com","www.cicapital.com")</f>
        <v>www.cicapital.com</v>
      </c>
    </row>
    <row r="254" spans="2:10" x14ac:dyDescent="0.2">
      <c r="B254" s="5" t="s">
        <v>644</v>
      </c>
      <c r="C254" s="5" t="s">
        <v>10</v>
      </c>
      <c r="D254" s="5" t="s">
        <v>12</v>
      </c>
      <c r="E254" s="7" t="s">
        <v>10</v>
      </c>
      <c r="F254" s="5" t="s">
        <v>210</v>
      </c>
      <c r="G254" s="5" t="s">
        <v>48</v>
      </c>
      <c r="H254" s="5" t="s">
        <v>49</v>
      </c>
      <c r="I254" s="5" t="s">
        <v>50</v>
      </c>
      <c r="J254" s="5" t="s">
        <v>10</v>
      </c>
    </row>
    <row r="255" spans="2:10" x14ac:dyDescent="0.2">
      <c r="B255" s="3" t="s">
        <v>645</v>
      </c>
      <c r="C255" s="3" t="s">
        <v>646</v>
      </c>
      <c r="D255" s="3" t="s">
        <v>12</v>
      </c>
      <c r="E255" s="4" t="s">
        <v>10</v>
      </c>
      <c r="F255" s="3" t="s">
        <v>13</v>
      </c>
      <c r="G255" s="3" t="s">
        <v>14</v>
      </c>
      <c r="H255" s="3" t="s">
        <v>15</v>
      </c>
      <c r="I255" s="3" t="s">
        <v>16</v>
      </c>
      <c r="J255" s="3" t="s">
        <v>10</v>
      </c>
    </row>
    <row r="256" spans="2:10" x14ac:dyDescent="0.2">
      <c r="B256" s="5" t="s">
        <v>647</v>
      </c>
      <c r="C256" s="5" t="s">
        <v>648</v>
      </c>
      <c r="D256" s="5" t="s">
        <v>12</v>
      </c>
      <c r="E256" s="7">
        <v>50</v>
      </c>
      <c r="F256" s="5" t="s">
        <v>649</v>
      </c>
      <c r="G256" s="5" t="s">
        <v>14</v>
      </c>
      <c r="H256" s="5" t="s">
        <v>15</v>
      </c>
      <c r="I256" s="5" t="s">
        <v>16</v>
      </c>
      <c r="J256" s="1" t="str">
        <f>HYPERLINK("http://www.clking.com","www.clking.com")</f>
        <v>www.clking.com</v>
      </c>
    </row>
    <row r="257" spans="2:10" x14ac:dyDescent="0.2">
      <c r="B257" s="3" t="s">
        <v>650</v>
      </c>
      <c r="C257" s="3" t="s">
        <v>651</v>
      </c>
      <c r="D257" s="3" t="s">
        <v>97</v>
      </c>
      <c r="E257" s="4">
        <v>192</v>
      </c>
      <c r="F257" s="3" t="s">
        <v>478</v>
      </c>
      <c r="G257" s="3" t="s">
        <v>41</v>
      </c>
      <c r="H257" s="3" t="s">
        <v>26</v>
      </c>
      <c r="I257" s="3" t="s">
        <v>27</v>
      </c>
      <c r="J257" s="6" t="str">
        <f>HYPERLINK("http://www.clairfield.com","www.clairfield.com")</f>
        <v>www.clairfield.com</v>
      </c>
    </row>
    <row r="258" spans="2:10" x14ac:dyDescent="0.2">
      <c r="B258" s="5" t="s">
        <v>652</v>
      </c>
      <c r="C258" s="5" t="s">
        <v>653</v>
      </c>
      <c r="D258" s="5" t="s">
        <v>23</v>
      </c>
      <c r="E258" s="7">
        <v>2370</v>
      </c>
      <c r="F258" s="5" t="s">
        <v>13</v>
      </c>
      <c r="G258" s="5" t="s">
        <v>14</v>
      </c>
      <c r="H258" s="5" t="s">
        <v>15</v>
      </c>
      <c r="I258" s="5" t="s">
        <v>16</v>
      </c>
      <c r="J258" s="1" t="str">
        <f>HYPERLINK("http://www.clearygottlieb.com","www.clearygottlieb.com")</f>
        <v>www.clearygottlieb.com</v>
      </c>
    </row>
    <row r="259" spans="2:10" x14ac:dyDescent="0.2">
      <c r="B259" s="3" t="s">
        <v>654</v>
      </c>
      <c r="C259" s="3" t="s">
        <v>655</v>
      </c>
      <c r="D259" s="3" t="s">
        <v>23</v>
      </c>
      <c r="E259" s="4">
        <v>19</v>
      </c>
      <c r="F259" s="3" t="s">
        <v>37</v>
      </c>
      <c r="G259" s="3" t="s">
        <v>14</v>
      </c>
      <c r="H259" s="3" t="s">
        <v>15</v>
      </c>
      <c r="I259" s="3" t="s">
        <v>16</v>
      </c>
      <c r="J259" s="6" t="str">
        <f>HYPERLINK("http://www.cohenandcohen.net","www.cohenandcohen.net")</f>
        <v>www.cohenandcohen.net</v>
      </c>
    </row>
    <row r="260" spans="2:10" x14ac:dyDescent="0.2">
      <c r="B260" s="5" t="s">
        <v>656</v>
      </c>
      <c r="C260" s="5" t="s">
        <v>657</v>
      </c>
      <c r="D260" s="5" t="s">
        <v>23</v>
      </c>
      <c r="E260" s="7">
        <v>307</v>
      </c>
      <c r="F260" s="5" t="s">
        <v>658</v>
      </c>
      <c r="G260" s="5" t="s">
        <v>14</v>
      </c>
      <c r="H260" s="5" t="s">
        <v>15</v>
      </c>
      <c r="I260" s="5" t="s">
        <v>16</v>
      </c>
      <c r="J260" s="1" t="str">
        <f>HYPERLINK("http://www.coleschotz.com","www.coleschotz.com")</f>
        <v>www.coleschotz.com</v>
      </c>
    </row>
    <row r="261" spans="2:10" x14ac:dyDescent="0.2">
      <c r="B261" s="3" t="s">
        <v>659</v>
      </c>
      <c r="C261" s="3" t="s">
        <v>660</v>
      </c>
      <c r="D261" s="3" t="s">
        <v>23</v>
      </c>
      <c r="E261" s="4">
        <v>800</v>
      </c>
      <c r="F261" s="3" t="s">
        <v>661</v>
      </c>
      <c r="G261" s="3" t="s">
        <v>662</v>
      </c>
      <c r="H261" s="3" t="s">
        <v>236</v>
      </c>
      <c r="I261" s="3" t="s">
        <v>237</v>
      </c>
      <c r="J261" s="6" t="str">
        <f>HYPERLINK("http://www.tongshang.com","www.tongshang.com")</f>
        <v>www.tongshang.com</v>
      </c>
    </row>
    <row r="262" spans="2:10" x14ac:dyDescent="0.2">
      <c r="B262" s="5" t="s">
        <v>663</v>
      </c>
      <c r="C262" s="5" t="s">
        <v>10</v>
      </c>
      <c r="D262" s="5" t="s">
        <v>30</v>
      </c>
      <c r="E262" s="7" t="s">
        <v>10</v>
      </c>
      <c r="F262" s="5" t="s">
        <v>106</v>
      </c>
      <c r="G262" s="5" t="s">
        <v>107</v>
      </c>
      <c r="H262" s="5" t="s">
        <v>26</v>
      </c>
      <c r="I262" s="5" t="s">
        <v>27</v>
      </c>
      <c r="J262" s="1" t="str">
        <f>HYPERLINK("http://www.common-fund.org","www.common-fund.org")</f>
        <v>www.common-fund.org</v>
      </c>
    </row>
    <row r="263" spans="2:10" x14ac:dyDescent="0.2">
      <c r="B263" s="3" t="s">
        <v>664</v>
      </c>
      <c r="C263" s="3" t="s">
        <v>10</v>
      </c>
      <c r="D263" s="3" t="s">
        <v>338</v>
      </c>
      <c r="E263" s="4" t="s">
        <v>10</v>
      </c>
      <c r="F263" s="3" t="s">
        <v>665</v>
      </c>
      <c r="G263" s="3" t="s">
        <v>551</v>
      </c>
      <c r="H263" s="3" t="s">
        <v>552</v>
      </c>
      <c r="I263" s="3" t="s">
        <v>552</v>
      </c>
      <c r="J263" s="6" t="str">
        <f>HYPERLINK("http://compasscapitalpartners.com.au","compasscapitalpartners.com.au")</f>
        <v>compasscapitalpartners.com.au</v>
      </c>
    </row>
    <row r="264" spans="2:10" x14ac:dyDescent="0.2">
      <c r="B264" s="5" t="s">
        <v>666</v>
      </c>
      <c r="C264" s="5" t="s">
        <v>667</v>
      </c>
      <c r="D264" s="5" t="s">
        <v>97</v>
      </c>
      <c r="E264" s="7">
        <v>821</v>
      </c>
      <c r="F264" s="5" t="s">
        <v>37</v>
      </c>
      <c r="G264" s="5" t="s">
        <v>14</v>
      </c>
      <c r="H264" s="5" t="s">
        <v>15</v>
      </c>
      <c r="I264" s="5" t="s">
        <v>16</v>
      </c>
      <c r="J264" s="1" t="str">
        <f>HYPERLINK("http://www.compasslexecon.com","www.compasslexecon.com")</f>
        <v>www.compasslexecon.com</v>
      </c>
    </row>
    <row r="265" spans="2:10" x14ac:dyDescent="0.2">
      <c r="B265" s="3" t="s">
        <v>668</v>
      </c>
      <c r="C265" s="3" t="s">
        <v>669</v>
      </c>
      <c r="D265" s="3" t="s">
        <v>12</v>
      </c>
      <c r="E265" s="4" t="s">
        <v>10</v>
      </c>
      <c r="F265" s="3" t="s">
        <v>98</v>
      </c>
      <c r="G265" s="3" t="s">
        <v>99</v>
      </c>
      <c r="H265" s="3" t="s">
        <v>49</v>
      </c>
      <c r="I265" s="3" t="s">
        <v>58</v>
      </c>
      <c r="J265" s="6" t="str">
        <f>HYPERLINK("http://www.cordros.com","www.cordros.com")</f>
        <v>www.cordros.com</v>
      </c>
    </row>
    <row r="266" spans="2:10" x14ac:dyDescent="0.2">
      <c r="B266" s="5" t="s">
        <v>670</v>
      </c>
      <c r="C266" s="5" t="s">
        <v>671</v>
      </c>
      <c r="D266" s="5" t="s">
        <v>12</v>
      </c>
      <c r="E266" s="7">
        <v>118</v>
      </c>
      <c r="F266" s="5" t="s">
        <v>106</v>
      </c>
      <c r="G266" s="5" t="s">
        <v>107</v>
      </c>
      <c r="H266" s="5" t="s">
        <v>26</v>
      </c>
      <c r="I266" s="5" t="s">
        <v>27</v>
      </c>
      <c r="J266" s="1" t="str">
        <f>HYPERLINK("http://www.thecfigroup.com","www.thecfigroup.com")</f>
        <v>www.thecfigroup.com</v>
      </c>
    </row>
    <row r="267" spans="2:10" x14ac:dyDescent="0.2">
      <c r="B267" s="3" t="s">
        <v>672</v>
      </c>
      <c r="C267" s="3" t="s">
        <v>10</v>
      </c>
      <c r="D267" s="3" t="s">
        <v>12</v>
      </c>
      <c r="E267" s="4" t="s">
        <v>10</v>
      </c>
      <c r="F267" s="3" t="s">
        <v>24</v>
      </c>
      <c r="G267" s="3" t="s">
        <v>25</v>
      </c>
      <c r="H267" s="3" t="s">
        <v>26</v>
      </c>
      <c r="I267" s="3" t="s">
        <v>27</v>
      </c>
      <c r="J267" s="3" t="s">
        <v>10</v>
      </c>
    </row>
    <row r="268" spans="2:10" x14ac:dyDescent="0.2">
      <c r="B268" s="5" t="s">
        <v>673</v>
      </c>
      <c r="C268" s="5" t="s">
        <v>10</v>
      </c>
      <c r="D268" s="5" t="s">
        <v>23</v>
      </c>
      <c r="E268" s="7" t="s">
        <v>10</v>
      </c>
      <c r="F268" s="5" t="s">
        <v>76</v>
      </c>
      <c r="G268" s="5" t="s">
        <v>77</v>
      </c>
      <c r="H268" s="5" t="s">
        <v>49</v>
      </c>
      <c r="I268" s="5" t="s">
        <v>78</v>
      </c>
      <c r="J268" s="5" t="s">
        <v>10</v>
      </c>
    </row>
    <row r="269" spans="2:10" x14ac:dyDescent="0.2">
      <c r="B269" s="3" t="s">
        <v>674</v>
      </c>
      <c r="C269" s="3" t="s">
        <v>675</v>
      </c>
      <c r="D269" s="3" t="s">
        <v>44</v>
      </c>
      <c r="E269" s="4">
        <v>54</v>
      </c>
      <c r="F269" s="3" t="s">
        <v>24</v>
      </c>
      <c r="G269" s="3" t="s">
        <v>25</v>
      </c>
      <c r="H269" s="3" t="s">
        <v>26</v>
      </c>
      <c r="I269" s="3" t="s">
        <v>27</v>
      </c>
      <c r="J269" s="6" t="str">
        <f>HYPERLINK("http://www.countingup.com","www.countingup.com")</f>
        <v>www.countingup.com</v>
      </c>
    </row>
    <row r="270" spans="2:10" x14ac:dyDescent="0.2">
      <c r="B270" s="5" t="s">
        <v>676</v>
      </c>
      <c r="C270" s="5" t="s">
        <v>677</v>
      </c>
      <c r="D270" s="5" t="s">
        <v>30</v>
      </c>
      <c r="E270" s="7">
        <v>271</v>
      </c>
      <c r="F270" s="5" t="s">
        <v>229</v>
      </c>
      <c r="G270" s="5" t="s">
        <v>14</v>
      </c>
      <c r="H270" s="5" t="s">
        <v>15</v>
      </c>
      <c r="I270" s="5" t="s">
        <v>16</v>
      </c>
      <c r="J270" s="1" t="str">
        <f>HYPERLINK("http://www.crescentcap.com","www.crescentcap.com")</f>
        <v>www.crescentcap.com</v>
      </c>
    </row>
    <row r="271" spans="2:10" x14ac:dyDescent="0.2">
      <c r="B271" s="3" t="s">
        <v>678</v>
      </c>
      <c r="C271" s="3" t="s">
        <v>679</v>
      </c>
      <c r="D271" s="3" t="s">
        <v>12</v>
      </c>
      <c r="E271" s="4">
        <v>37</v>
      </c>
      <c r="F271" s="3" t="s">
        <v>160</v>
      </c>
      <c r="G271" s="3" t="s">
        <v>161</v>
      </c>
      <c r="H271" s="3" t="s">
        <v>49</v>
      </c>
      <c r="I271" s="3" t="s">
        <v>78</v>
      </c>
      <c r="J271" s="6" t="str">
        <f>HYPERLINK("http://www.crestedcapital.com","www.crestedcapital.com")</f>
        <v>www.crestedcapital.com</v>
      </c>
    </row>
    <row r="272" spans="2:10" x14ac:dyDescent="0.2">
      <c r="B272" s="5" t="s">
        <v>680</v>
      </c>
      <c r="C272" s="5" t="s">
        <v>681</v>
      </c>
      <c r="D272" s="5" t="s">
        <v>97</v>
      </c>
      <c r="E272" s="7">
        <v>190</v>
      </c>
      <c r="F272" s="5" t="s">
        <v>76</v>
      </c>
      <c r="G272" s="5" t="s">
        <v>77</v>
      </c>
      <c r="H272" s="5" t="s">
        <v>49</v>
      </c>
      <c r="I272" s="5" t="s">
        <v>78</v>
      </c>
      <c r="J272" s="1" t="str">
        <f>HYPERLINK("http://www.crossboundary.com","www.crossboundary.com")</f>
        <v>www.crossboundary.com</v>
      </c>
    </row>
    <row r="273" spans="2:10" x14ac:dyDescent="0.2">
      <c r="B273" s="3" t="s">
        <v>682</v>
      </c>
      <c r="C273" s="3" t="s">
        <v>10</v>
      </c>
      <c r="D273" s="3" t="s">
        <v>134</v>
      </c>
      <c r="E273" s="4" t="s">
        <v>10</v>
      </c>
      <c r="F273" s="3" t="s">
        <v>10</v>
      </c>
      <c r="G273" s="3" t="s">
        <v>10</v>
      </c>
      <c r="H273" s="3" t="s">
        <v>10</v>
      </c>
      <c r="I273" s="3" t="s">
        <v>10</v>
      </c>
      <c r="J273" s="6" t="str">
        <f>HYPERLINK("http://www.crowdstartr.com","www.crowdstartr.com")</f>
        <v>www.crowdstartr.com</v>
      </c>
    </row>
    <row r="274" spans="2:10" x14ac:dyDescent="0.2">
      <c r="B274" s="5" t="s">
        <v>683</v>
      </c>
      <c r="C274" s="5" t="s">
        <v>684</v>
      </c>
      <c r="D274" s="5" t="s">
        <v>189</v>
      </c>
      <c r="E274" s="7">
        <v>33</v>
      </c>
      <c r="F274" s="5" t="s">
        <v>13</v>
      </c>
      <c r="G274" s="5" t="s">
        <v>14</v>
      </c>
      <c r="H274" s="5" t="s">
        <v>15</v>
      </c>
      <c r="I274" s="5" t="s">
        <v>16</v>
      </c>
      <c r="J274" s="1" t="str">
        <f>HYPERLINK("http://www.dornanoandco.com","www.dornanoandco.com")</f>
        <v>www.dornanoandco.com</v>
      </c>
    </row>
    <row r="275" spans="2:10" x14ac:dyDescent="0.2">
      <c r="B275" s="3" t="s">
        <v>685</v>
      </c>
      <c r="C275" s="3" t="s">
        <v>686</v>
      </c>
      <c r="D275" s="3" t="s">
        <v>44</v>
      </c>
      <c r="E275" s="4" t="s">
        <v>10</v>
      </c>
      <c r="F275" s="3" t="s">
        <v>687</v>
      </c>
      <c r="G275" s="3" t="s">
        <v>14</v>
      </c>
      <c r="H275" s="3" t="s">
        <v>15</v>
      </c>
      <c r="I275" s="3" t="s">
        <v>16</v>
      </c>
      <c r="J275" s="6" t="str">
        <f>HYPERLINK("http://www.djcpl.com","www.djcpl.com")</f>
        <v>www.djcpl.com</v>
      </c>
    </row>
    <row r="276" spans="2:10" x14ac:dyDescent="0.2">
      <c r="B276" s="5" t="s">
        <v>688</v>
      </c>
      <c r="C276" s="5" t="s">
        <v>689</v>
      </c>
      <c r="D276" s="5" t="s">
        <v>23</v>
      </c>
      <c r="E276" s="7">
        <v>809</v>
      </c>
      <c r="F276" s="5" t="s">
        <v>249</v>
      </c>
      <c r="G276" s="5" t="s">
        <v>250</v>
      </c>
      <c r="H276" s="5" t="s">
        <v>15</v>
      </c>
      <c r="I276" s="5" t="s">
        <v>16</v>
      </c>
      <c r="J276" s="1" t="str">
        <f>HYPERLINK("http://www.dwpv.com","www.dwpv.com")</f>
        <v>www.dwpv.com</v>
      </c>
    </row>
    <row r="277" spans="2:10" x14ac:dyDescent="0.2">
      <c r="B277" s="3" t="s">
        <v>690</v>
      </c>
      <c r="C277" s="3" t="s">
        <v>691</v>
      </c>
      <c r="D277" s="3" t="s">
        <v>23</v>
      </c>
      <c r="E277" s="4">
        <v>1996</v>
      </c>
      <c r="F277" s="3" t="s">
        <v>13</v>
      </c>
      <c r="G277" s="3" t="s">
        <v>14</v>
      </c>
      <c r="H277" s="3" t="s">
        <v>15</v>
      </c>
      <c r="I277" s="3" t="s">
        <v>16</v>
      </c>
      <c r="J277" s="6" t="str">
        <f>HYPERLINK("http://www.debevoise.com","www.debevoise.com")</f>
        <v>www.debevoise.com</v>
      </c>
    </row>
    <row r="278" spans="2:10" x14ac:dyDescent="0.2">
      <c r="B278" s="5" t="s">
        <v>692</v>
      </c>
      <c r="C278" s="5" t="s">
        <v>693</v>
      </c>
      <c r="D278" s="5" t="s">
        <v>23</v>
      </c>
      <c r="E278" s="7">
        <v>2159</v>
      </c>
      <c r="F278" s="5" t="s">
        <v>694</v>
      </c>
      <c r="G278" s="5" t="s">
        <v>14</v>
      </c>
      <c r="H278" s="5" t="s">
        <v>15</v>
      </c>
      <c r="I278" s="5" t="s">
        <v>16</v>
      </c>
      <c r="J278" s="1" t="str">
        <f>HYPERLINK("http://www.dechert.com","www.dechert.com")</f>
        <v>www.dechert.com</v>
      </c>
    </row>
    <row r="279" spans="2:10" x14ac:dyDescent="0.2">
      <c r="B279" s="3" t="s">
        <v>695</v>
      </c>
      <c r="C279" s="3" t="s">
        <v>696</v>
      </c>
      <c r="D279" s="3" t="s">
        <v>97</v>
      </c>
      <c r="E279" s="4">
        <v>442613</v>
      </c>
      <c r="F279" s="3" t="s">
        <v>73</v>
      </c>
      <c r="G279" s="3" t="s">
        <v>14</v>
      </c>
      <c r="H279" s="3" t="s">
        <v>15</v>
      </c>
      <c r="I279" s="3" t="s">
        <v>16</v>
      </c>
      <c r="J279" s="6" t="str">
        <f>HYPERLINK("http://www.investmentbanking.deloitte.com","www.investmentbanking.deloitte.com")</f>
        <v>www.investmentbanking.deloitte.com</v>
      </c>
    </row>
    <row r="280" spans="2:10" x14ac:dyDescent="0.2">
      <c r="B280" s="5" t="s">
        <v>697</v>
      </c>
      <c r="C280" s="5" t="s">
        <v>10</v>
      </c>
      <c r="D280" s="5" t="s">
        <v>97</v>
      </c>
      <c r="E280" s="7" t="s">
        <v>10</v>
      </c>
      <c r="F280" s="5" t="s">
        <v>145</v>
      </c>
      <c r="G280" s="5" t="s">
        <v>146</v>
      </c>
      <c r="H280" s="5" t="s">
        <v>49</v>
      </c>
      <c r="I280" s="5" t="s">
        <v>50</v>
      </c>
      <c r="J280" s="5" t="s">
        <v>10</v>
      </c>
    </row>
    <row r="281" spans="2:10" x14ac:dyDescent="0.2">
      <c r="B281" s="3" t="s">
        <v>698</v>
      </c>
      <c r="C281" s="3" t="s">
        <v>699</v>
      </c>
      <c r="D281" s="3" t="s">
        <v>30</v>
      </c>
      <c r="E281" s="4">
        <v>507</v>
      </c>
      <c r="F281" s="3" t="s">
        <v>700</v>
      </c>
      <c r="G281" s="3" t="s">
        <v>701</v>
      </c>
      <c r="H281" s="3" t="s">
        <v>26</v>
      </c>
      <c r="I281" s="3" t="s">
        <v>181</v>
      </c>
      <c r="J281" s="6" t="str">
        <f>HYPERLINK("http://www.eifo.dk","www.eifo.dk")</f>
        <v>www.eifo.dk</v>
      </c>
    </row>
    <row r="282" spans="2:10" x14ac:dyDescent="0.2">
      <c r="B282" s="5" t="s">
        <v>702</v>
      </c>
      <c r="C282" s="5" t="s">
        <v>703</v>
      </c>
      <c r="D282" s="5" t="s">
        <v>23</v>
      </c>
      <c r="E282" s="7">
        <v>72</v>
      </c>
      <c r="F282" s="5" t="s">
        <v>98</v>
      </c>
      <c r="G282" s="5" t="s">
        <v>99</v>
      </c>
      <c r="H282" s="5" t="s">
        <v>49</v>
      </c>
      <c r="I282" s="5" t="s">
        <v>58</v>
      </c>
      <c r="J282" s="1" t="str">
        <f>HYPERLINK("http://www.dentonsacaslaw.com","www.dentonsacaslaw.com")</f>
        <v>www.dentonsacaslaw.com</v>
      </c>
    </row>
    <row r="283" spans="2:10" x14ac:dyDescent="0.2">
      <c r="B283" s="3" t="s">
        <v>704</v>
      </c>
      <c r="C283" s="3" t="s">
        <v>705</v>
      </c>
      <c r="D283" s="3" t="s">
        <v>23</v>
      </c>
      <c r="E283" s="4" t="s">
        <v>10</v>
      </c>
      <c r="F283" s="3" t="s">
        <v>98</v>
      </c>
      <c r="G283" s="3" t="s">
        <v>99</v>
      </c>
      <c r="H283" s="3" t="s">
        <v>49</v>
      </c>
      <c r="I283" s="3" t="s">
        <v>58</v>
      </c>
      <c r="J283" s="6" t="str">
        <f>HYPERLINK("http://www.detailsolicitors.com","www.detailsolicitors.com")</f>
        <v>www.detailsolicitors.com</v>
      </c>
    </row>
    <row r="284" spans="2:10" x14ac:dyDescent="0.2">
      <c r="B284" s="5" t="s">
        <v>706</v>
      </c>
      <c r="C284" s="5" t="s">
        <v>707</v>
      </c>
      <c r="D284" s="5" t="s">
        <v>23</v>
      </c>
      <c r="E284" s="7">
        <v>464</v>
      </c>
      <c r="F284" s="5" t="s">
        <v>708</v>
      </c>
      <c r="G284" s="5" t="s">
        <v>407</v>
      </c>
      <c r="H284" s="5" t="s">
        <v>236</v>
      </c>
      <c r="I284" s="5" t="s">
        <v>408</v>
      </c>
      <c r="J284" s="1" t="str">
        <f>HYPERLINK("http://www.dsklegal.com","www.dsklegal.com")</f>
        <v>www.dsklegal.com</v>
      </c>
    </row>
    <row r="285" spans="2:10" x14ac:dyDescent="0.2">
      <c r="B285" s="3" t="s">
        <v>709</v>
      </c>
      <c r="C285" s="3" t="s">
        <v>710</v>
      </c>
      <c r="D285" s="3" t="s">
        <v>23</v>
      </c>
      <c r="E285" s="4">
        <v>1892</v>
      </c>
      <c r="F285" s="3" t="s">
        <v>694</v>
      </c>
      <c r="G285" s="3" t="s">
        <v>14</v>
      </c>
      <c r="H285" s="3" t="s">
        <v>15</v>
      </c>
      <c r="I285" s="3" t="s">
        <v>16</v>
      </c>
      <c r="J285" s="6" t="str">
        <f>HYPERLINK("http://www.duanemorris.com","www.duanemorris.com")</f>
        <v>www.duanemorris.com</v>
      </c>
    </row>
    <row r="286" spans="2:10" x14ac:dyDescent="0.2">
      <c r="B286" s="5" t="s">
        <v>711</v>
      </c>
      <c r="C286" s="5" t="s">
        <v>712</v>
      </c>
      <c r="D286" s="5" t="s">
        <v>30</v>
      </c>
      <c r="E286" s="7">
        <v>19</v>
      </c>
      <c r="F286" s="5" t="s">
        <v>435</v>
      </c>
      <c r="G286" s="5" t="s">
        <v>436</v>
      </c>
      <c r="H286" s="5" t="s">
        <v>26</v>
      </c>
      <c r="I286" s="5" t="s">
        <v>27</v>
      </c>
      <c r="J286" s="1" t="str">
        <f>HYPERLINK("http://www.dunportcapital.ie","www.dunportcapital.ie")</f>
        <v>www.dunportcapital.ie</v>
      </c>
    </row>
    <row r="287" spans="2:10" x14ac:dyDescent="0.2">
      <c r="B287" s="3" t="s">
        <v>713</v>
      </c>
      <c r="C287" s="3" t="s">
        <v>10</v>
      </c>
      <c r="D287" s="3" t="s">
        <v>189</v>
      </c>
      <c r="E287" s="4" t="s">
        <v>10</v>
      </c>
      <c r="F287" s="3" t="s">
        <v>10</v>
      </c>
      <c r="G287" s="3" t="s">
        <v>10</v>
      </c>
      <c r="H287" s="3" t="s">
        <v>10</v>
      </c>
      <c r="I287" s="3" t="s">
        <v>10</v>
      </c>
      <c r="J287" s="3" t="s">
        <v>10</v>
      </c>
    </row>
    <row r="288" spans="2:10" x14ac:dyDescent="0.2">
      <c r="B288" s="5" t="s">
        <v>714</v>
      </c>
      <c r="C288" s="5" t="s">
        <v>715</v>
      </c>
      <c r="D288" s="5" t="s">
        <v>30</v>
      </c>
      <c r="E288" s="7" t="s">
        <v>10</v>
      </c>
      <c r="F288" s="5" t="s">
        <v>40</v>
      </c>
      <c r="G288" s="5" t="s">
        <v>41</v>
      </c>
      <c r="H288" s="5" t="s">
        <v>26</v>
      </c>
      <c r="I288" s="5" t="s">
        <v>27</v>
      </c>
      <c r="J288" s="1" t="str">
        <f>HYPERLINK("http://www.volkswirtschaft-stiftung.ch","www.volkswirtschaft-stiftung.ch")</f>
        <v>www.volkswirtschaft-stiftung.ch</v>
      </c>
    </row>
    <row r="289" spans="2:10" x14ac:dyDescent="0.2">
      <c r="B289" s="3" t="s">
        <v>716</v>
      </c>
      <c r="C289" s="3" t="s">
        <v>10</v>
      </c>
      <c r="D289" s="3" t="s">
        <v>97</v>
      </c>
      <c r="E289" s="4" t="s">
        <v>10</v>
      </c>
      <c r="F289" s="3" t="s">
        <v>47</v>
      </c>
      <c r="G289" s="3" t="s">
        <v>48</v>
      </c>
      <c r="H289" s="3" t="s">
        <v>49</v>
      </c>
      <c r="I289" s="3" t="s">
        <v>50</v>
      </c>
      <c r="J289" s="3" t="s">
        <v>10</v>
      </c>
    </row>
    <row r="290" spans="2:10" x14ac:dyDescent="0.2">
      <c r="B290" s="5" t="s">
        <v>717</v>
      </c>
      <c r="C290" s="5" t="s">
        <v>718</v>
      </c>
      <c r="D290" s="5" t="s">
        <v>97</v>
      </c>
      <c r="E290" s="7">
        <v>9</v>
      </c>
      <c r="F290" s="5" t="s">
        <v>93</v>
      </c>
      <c r="G290" s="5" t="s">
        <v>94</v>
      </c>
      <c r="H290" s="5" t="s">
        <v>26</v>
      </c>
      <c r="I290" s="5" t="s">
        <v>27</v>
      </c>
      <c r="J290" s="1" t="str">
        <f>HYPERLINK("http://www.enexus-finance.com","www.enexus-finance.com")</f>
        <v>www.enexus-finance.com</v>
      </c>
    </row>
    <row r="291" spans="2:10" x14ac:dyDescent="0.2">
      <c r="B291" s="3" t="s">
        <v>719</v>
      </c>
      <c r="C291" s="3" t="s">
        <v>10</v>
      </c>
      <c r="D291" s="3" t="s">
        <v>189</v>
      </c>
      <c r="E291" s="4" t="s">
        <v>10</v>
      </c>
      <c r="F291" s="3" t="s">
        <v>10</v>
      </c>
      <c r="G291" s="3" t="s">
        <v>10</v>
      </c>
      <c r="H291" s="3" t="s">
        <v>10</v>
      </c>
      <c r="I291" s="3" t="s">
        <v>10</v>
      </c>
      <c r="J291" s="3" t="s">
        <v>10</v>
      </c>
    </row>
    <row r="292" spans="2:10" x14ac:dyDescent="0.2">
      <c r="B292" s="5" t="s">
        <v>720</v>
      </c>
      <c r="C292" s="5" t="s">
        <v>721</v>
      </c>
      <c r="D292" s="5" t="s">
        <v>12</v>
      </c>
      <c r="E292" s="7" t="s">
        <v>10</v>
      </c>
      <c r="F292" s="5" t="s">
        <v>13</v>
      </c>
      <c r="G292" s="5" t="s">
        <v>14</v>
      </c>
      <c r="H292" s="5" t="s">
        <v>15</v>
      </c>
      <c r="I292" s="5" t="s">
        <v>16</v>
      </c>
      <c r="J292" s="5" t="s">
        <v>10</v>
      </c>
    </row>
    <row r="293" spans="2:10" x14ac:dyDescent="0.2">
      <c r="B293" s="3" t="s">
        <v>722</v>
      </c>
      <c r="C293" s="3" t="s">
        <v>723</v>
      </c>
      <c r="D293" s="3" t="s">
        <v>30</v>
      </c>
      <c r="E293" s="4">
        <v>4439</v>
      </c>
      <c r="F293" s="3" t="s">
        <v>24</v>
      </c>
      <c r="G293" s="3" t="s">
        <v>25</v>
      </c>
      <c r="H293" s="3" t="s">
        <v>26</v>
      </c>
      <c r="I293" s="3" t="s">
        <v>27</v>
      </c>
      <c r="J293" s="6" t="str">
        <f>HYPERLINK("http://www.ebrd.com","www.ebrd.com")</f>
        <v>www.ebrd.com</v>
      </c>
    </row>
    <row r="294" spans="2:10" x14ac:dyDescent="0.2">
      <c r="B294" s="5" t="s">
        <v>724</v>
      </c>
      <c r="C294" s="5" t="s">
        <v>10</v>
      </c>
      <c r="D294" s="5" t="s">
        <v>97</v>
      </c>
      <c r="E294" s="7" t="s">
        <v>10</v>
      </c>
      <c r="F294" s="5" t="s">
        <v>725</v>
      </c>
      <c r="G294" s="5" t="s">
        <v>84</v>
      </c>
      <c r="H294" s="5" t="s">
        <v>49</v>
      </c>
      <c r="I294" s="5" t="s">
        <v>85</v>
      </c>
      <c r="J294" s="1" t="str">
        <f>HYPERLINK("http://www.exchangesponsors.co.za","www.exchangesponsors.co.za")</f>
        <v>www.exchangesponsors.co.za</v>
      </c>
    </row>
    <row r="295" spans="2:10" x14ac:dyDescent="0.2">
      <c r="B295" s="3" t="s">
        <v>726</v>
      </c>
      <c r="C295" s="3" t="s">
        <v>10</v>
      </c>
      <c r="D295" s="3" t="s">
        <v>12</v>
      </c>
      <c r="E295" s="4" t="s">
        <v>10</v>
      </c>
      <c r="F295" s="3" t="s">
        <v>47</v>
      </c>
      <c r="G295" s="3" t="s">
        <v>48</v>
      </c>
      <c r="H295" s="3" t="s">
        <v>49</v>
      </c>
      <c r="I295" s="3" t="s">
        <v>50</v>
      </c>
      <c r="J295" s="6" t="str">
        <f>HYPERLINK("http://www.exits.me","www.exits.me")</f>
        <v>www.exits.me</v>
      </c>
    </row>
    <row r="296" spans="2:10" x14ac:dyDescent="0.2">
      <c r="B296" s="5" t="s">
        <v>727</v>
      </c>
      <c r="C296" s="5" t="s">
        <v>728</v>
      </c>
      <c r="D296" s="5" t="s">
        <v>97</v>
      </c>
      <c r="E296" s="7">
        <v>7</v>
      </c>
      <c r="F296" s="5" t="s">
        <v>93</v>
      </c>
      <c r="G296" s="5" t="s">
        <v>94</v>
      </c>
      <c r="H296" s="5" t="s">
        <v>26</v>
      </c>
      <c r="I296" s="5" t="s">
        <v>27</v>
      </c>
      <c r="J296" s="1" t="str">
        <f>HYPERLINK("http://www.expen.com","www.expen.com")</f>
        <v>www.expen.com</v>
      </c>
    </row>
    <row r="297" spans="2:10" x14ac:dyDescent="0.2">
      <c r="B297" s="3" t="s">
        <v>729</v>
      </c>
      <c r="C297" s="3" t="s">
        <v>730</v>
      </c>
      <c r="D297" s="3" t="s">
        <v>44</v>
      </c>
      <c r="E297" s="4" t="s">
        <v>10</v>
      </c>
      <c r="F297" s="3" t="s">
        <v>335</v>
      </c>
      <c r="G297" s="3" t="s">
        <v>336</v>
      </c>
      <c r="H297" s="3" t="s">
        <v>26</v>
      </c>
      <c r="I297" s="3" t="s">
        <v>181</v>
      </c>
      <c r="J297" s="6" t="str">
        <f>HYPERLINK("http://www.fi.ey.com","www.fi.ey.com")</f>
        <v>www.fi.ey.com</v>
      </c>
    </row>
    <row r="298" spans="2:10" x14ac:dyDescent="0.2">
      <c r="B298" s="5" t="s">
        <v>731</v>
      </c>
      <c r="C298" s="5" t="s">
        <v>10</v>
      </c>
      <c r="D298" s="5" t="s">
        <v>97</v>
      </c>
      <c r="E298" s="7" t="s">
        <v>10</v>
      </c>
      <c r="F298" s="5" t="s">
        <v>76</v>
      </c>
      <c r="G298" s="5" t="s">
        <v>77</v>
      </c>
      <c r="H298" s="5" t="s">
        <v>49</v>
      </c>
      <c r="I298" s="5" t="s">
        <v>78</v>
      </c>
      <c r="J298" s="1" t="str">
        <f>HYPERLINK("http://www.fanisi.com","www.fanisi.com")</f>
        <v>www.fanisi.com</v>
      </c>
    </row>
    <row r="299" spans="2:10" x14ac:dyDescent="0.2">
      <c r="B299" s="3" t="s">
        <v>732</v>
      </c>
      <c r="C299" s="3" t="s">
        <v>733</v>
      </c>
      <c r="D299" s="3" t="s">
        <v>134</v>
      </c>
      <c r="E299" s="4">
        <v>4</v>
      </c>
      <c r="F299" s="3" t="s">
        <v>98</v>
      </c>
      <c r="G299" s="3" t="s">
        <v>99</v>
      </c>
      <c r="H299" s="3" t="s">
        <v>49</v>
      </c>
      <c r="I299" s="3" t="s">
        <v>58</v>
      </c>
      <c r="J299" s="6" t="str">
        <f>HYPERLINK("http://www.figg.africa","www.figg.africa")</f>
        <v>www.figg.africa</v>
      </c>
    </row>
    <row r="300" spans="2:10" x14ac:dyDescent="0.2">
      <c r="B300" s="5" t="s">
        <v>734</v>
      </c>
      <c r="C300" s="5" t="s">
        <v>735</v>
      </c>
      <c r="D300" s="5" t="s">
        <v>338</v>
      </c>
      <c r="E300" s="7" t="s">
        <v>10</v>
      </c>
      <c r="F300" s="5" t="s">
        <v>179</v>
      </c>
      <c r="G300" s="5" t="s">
        <v>180</v>
      </c>
      <c r="H300" s="5" t="s">
        <v>26</v>
      </c>
      <c r="I300" s="5" t="s">
        <v>181</v>
      </c>
      <c r="J300" s="1" t="str">
        <f>HYPERLINK("http://www.fnca.se","www.fnca.se")</f>
        <v>www.fnca.se</v>
      </c>
    </row>
    <row r="301" spans="2:10" x14ac:dyDescent="0.2">
      <c r="B301" s="3" t="s">
        <v>736</v>
      </c>
      <c r="C301" s="3" t="s">
        <v>737</v>
      </c>
      <c r="D301" s="3" t="s">
        <v>12</v>
      </c>
      <c r="E301" s="4">
        <v>69</v>
      </c>
      <c r="F301" s="3" t="s">
        <v>738</v>
      </c>
      <c r="G301" s="3" t="s">
        <v>14</v>
      </c>
      <c r="H301" s="3" t="s">
        <v>15</v>
      </c>
      <c r="I301" s="3" t="s">
        <v>16</v>
      </c>
      <c r="J301" s="6" t="str">
        <f>HYPERLINK("http://www.focusbankers.com","www.focusbankers.com")</f>
        <v>www.focusbankers.com</v>
      </c>
    </row>
    <row r="302" spans="2:10" x14ac:dyDescent="0.2">
      <c r="B302" s="5" t="s">
        <v>739</v>
      </c>
      <c r="C302" s="5" t="s">
        <v>740</v>
      </c>
      <c r="D302" s="5" t="s">
        <v>12</v>
      </c>
      <c r="E302" s="7">
        <v>7</v>
      </c>
      <c r="F302" s="5" t="s">
        <v>24</v>
      </c>
      <c r="G302" s="5" t="s">
        <v>25</v>
      </c>
      <c r="H302" s="5" t="s">
        <v>26</v>
      </c>
      <c r="I302" s="5" t="s">
        <v>27</v>
      </c>
      <c r="J302" s="1" t="str">
        <f>HYPERLINK("http://www.frederickfyle.com","www.frederickfyle.com")</f>
        <v>www.frederickfyle.com</v>
      </c>
    </row>
    <row r="303" spans="2:10" x14ac:dyDescent="0.2">
      <c r="B303" s="3" t="s">
        <v>741</v>
      </c>
      <c r="C303" s="3" t="s">
        <v>742</v>
      </c>
      <c r="D303" s="3" t="s">
        <v>30</v>
      </c>
      <c r="E303" s="4">
        <v>575</v>
      </c>
      <c r="F303" s="3" t="s">
        <v>694</v>
      </c>
      <c r="G303" s="3" t="s">
        <v>14</v>
      </c>
      <c r="H303" s="3" t="s">
        <v>15</v>
      </c>
      <c r="I303" s="3" t="s">
        <v>16</v>
      </c>
      <c r="J303" s="6" t="str">
        <f>HYPERLINK("http://www.fsinvestments.com","www.fsinvestments.com")</f>
        <v>www.fsinvestments.com</v>
      </c>
    </row>
    <row r="304" spans="2:10" x14ac:dyDescent="0.2">
      <c r="B304" s="5" t="s">
        <v>743</v>
      </c>
      <c r="C304" s="5" t="s">
        <v>744</v>
      </c>
      <c r="D304" s="5" t="s">
        <v>97</v>
      </c>
      <c r="E304" s="7">
        <v>10113</v>
      </c>
      <c r="F304" s="5" t="s">
        <v>37</v>
      </c>
      <c r="G304" s="5" t="s">
        <v>14</v>
      </c>
      <c r="H304" s="5" t="s">
        <v>15</v>
      </c>
      <c r="I304" s="5" t="s">
        <v>16</v>
      </c>
      <c r="J304" s="1" t="str">
        <f>HYPERLINK("http://www.fticonsulting.com","www.fticonsulting.com")</f>
        <v>www.fticonsulting.com</v>
      </c>
    </row>
    <row r="305" spans="2:10" x14ac:dyDescent="0.2">
      <c r="B305" s="3" t="s">
        <v>745</v>
      </c>
      <c r="C305" s="3" t="s">
        <v>746</v>
      </c>
      <c r="D305" s="3" t="s">
        <v>23</v>
      </c>
      <c r="E305" s="4">
        <v>10</v>
      </c>
      <c r="F305" s="3" t="s">
        <v>747</v>
      </c>
      <c r="G305" s="3" t="s">
        <v>748</v>
      </c>
      <c r="H305" s="3" t="s">
        <v>49</v>
      </c>
      <c r="I305" s="3" t="s">
        <v>749</v>
      </c>
      <c r="J305" s="6" t="str">
        <f>HYPERLINK("http://www.ftl-advogados.com","www.ftl-advogados.com")</f>
        <v>www.ftl-advogados.com</v>
      </c>
    </row>
    <row r="306" spans="2:10" x14ac:dyDescent="0.2">
      <c r="B306" s="5" t="s">
        <v>750</v>
      </c>
      <c r="C306" s="5" t="s">
        <v>751</v>
      </c>
      <c r="D306" s="5" t="s">
        <v>134</v>
      </c>
      <c r="E306" s="7">
        <v>28</v>
      </c>
      <c r="F306" s="5" t="s">
        <v>179</v>
      </c>
      <c r="G306" s="5" t="s">
        <v>180</v>
      </c>
      <c r="H306" s="5" t="s">
        <v>26</v>
      </c>
      <c r="I306" s="5" t="s">
        <v>181</v>
      </c>
      <c r="J306" s="1" t="str">
        <f>HYPERLINK("http://www.fundedbyme.com","www.fundedbyme.com")</f>
        <v>www.fundedbyme.com</v>
      </c>
    </row>
    <row r="307" spans="2:10" x14ac:dyDescent="0.2">
      <c r="B307" s="3" t="s">
        <v>752</v>
      </c>
      <c r="C307" s="3" t="s">
        <v>10</v>
      </c>
      <c r="D307" s="3" t="s">
        <v>189</v>
      </c>
      <c r="E307" s="4" t="s">
        <v>10</v>
      </c>
      <c r="F307" s="3" t="s">
        <v>10</v>
      </c>
      <c r="G307" s="3" t="s">
        <v>10</v>
      </c>
      <c r="H307" s="3" t="s">
        <v>10</v>
      </c>
      <c r="I307" s="3" t="s">
        <v>10</v>
      </c>
      <c r="J307" s="3" t="s">
        <v>10</v>
      </c>
    </row>
    <row r="308" spans="2:10" x14ac:dyDescent="0.2">
      <c r="B308" s="5" t="s">
        <v>753</v>
      </c>
      <c r="C308" s="5" t="s">
        <v>10</v>
      </c>
      <c r="D308" s="5" t="s">
        <v>189</v>
      </c>
      <c r="E308" s="7" t="s">
        <v>10</v>
      </c>
      <c r="F308" s="5" t="s">
        <v>93</v>
      </c>
      <c r="G308" s="5" t="s">
        <v>94</v>
      </c>
      <c r="H308" s="5" t="s">
        <v>26</v>
      </c>
      <c r="I308" s="5" t="s">
        <v>27</v>
      </c>
      <c r="J308" s="1" t="str">
        <f>HYPERLINK("http://galenisys.com","galenisys.com")</f>
        <v>galenisys.com</v>
      </c>
    </row>
    <row r="309" spans="2:10" x14ac:dyDescent="0.2">
      <c r="B309" s="3" t="s">
        <v>754</v>
      </c>
      <c r="C309" s="3" t="s">
        <v>755</v>
      </c>
      <c r="D309" s="3" t="s">
        <v>350</v>
      </c>
      <c r="E309" s="4">
        <v>5</v>
      </c>
      <c r="F309" s="3" t="s">
        <v>612</v>
      </c>
      <c r="G309" s="3" t="s">
        <v>14</v>
      </c>
      <c r="H309" s="3" t="s">
        <v>15</v>
      </c>
      <c r="I309" s="3" t="s">
        <v>16</v>
      </c>
      <c r="J309" s="6" t="str">
        <f>HYPERLINK("http://www.geekdomfund.com","www.geekdomfund.com")</f>
        <v>www.geekdomfund.com</v>
      </c>
    </row>
    <row r="310" spans="2:10" x14ac:dyDescent="0.2">
      <c r="B310" s="5" t="s">
        <v>756</v>
      </c>
      <c r="C310" s="5" t="s">
        <v>757</v>
      </c>
      <c r="D310" s="5" t="s">
        <v>23</v>
      </c>
      <c r="E310" s="7">
        <v>3566</v>
      </c>
      <c r="F310" s="5" t="s">
        <v>229</v>
      </c>
      <c r="G310" s="5" t="s">
        <v>14</v>
      </c>
      <c r="H310" s="5" t="s">
        <v>15</v>
      </c>
      <c r="I310" s="5" t="s">
        <v>16</v>
      </c>
      <c r="J310" s="1" t="str">
        <f>HYPERLINK("http://www.gibsondunn.com","www.gibsondunn.com")</f>
        <v>www.gibsondunn.com</v>
      </c>
    </row>
    <row r="311" spans="2:10" x14ac:dyDescent="0.2">
      <c r="B311" s="3" t="s">
        <v>758</v>
      </c>
      <c r="C311" s="3" t="s">
        <v>759</v>
      </c>
      <c r="D311" s="3" t="s">
        <v>23</v>
      </c>
      <c r="E311" s="4">
        <v>1128</v>
      </c>
      <c r="F311" s="3" t="s">
        <v>93</v>
      </c>
      <c r="G311" s="3" t="s">
        <v>94</v>
      </c>
      <c r="H311" s="3" t="s">
        <v>26</v>
      </c>
      <c r="I311" s="3" t="s">
        <v>27</v>
      </c>
      <c r="J311" s="6" t="str">
        <f>HYPERLINK("http://www.gide.com","www.gide.com")</f>
        <v>www.gide.com</v>
      </c>
    </row>
    <row r="312" spans="2:10" x14ac:dyDescent="0.2">
      <c r="B312" s="5" t="s">
        <v>760</v>
      </c>
      <c r="C312" s="5" t="s">
        <v>761</v>
      </c>
      <c r="D312" s="5" t="s">
        <v>23</v>
      </c>
      <c r="E312" s="7">
        <v>825</v>
      </c>
      <c r="F312" s="5" t="s">
        <v>762</v>
      </c>
      <c r="G312" s="5" t="s">
        <v>64</v>
      </c>
      <c r="H312" s="5" t="s">
        <v>26</v>
      </c>
      <c r="I312" s="5" t="s">
        <v>27</v>
      </c>
      <c r="J312" s="1" t="str">
        <f>HYPERLINK("http://www.gleisslutz.com","www.gleisslutz.com")</f>
        <v>www.gleisslutz.com</v>
      </c>
    </row>
    <row r="313" spans="2:10" x14ac:dyDescent="0.2">
      <c r="B313" s="3" t="s">
        <v>763</v>
      </c>
      <c r="C313" s="3" t="s">
        <v>764</v>
      </c>
      <c r="D313" s="3" t="s">
        <v>23</v>
      </c>
      <c r="E313" s="4" t="s">
        <v>10</v>
      </c>
      <c r="F313" s="3" t="s">
        <v>765</v>
      </c>
      <c r="G313" s="3" t="s">
        <v>766</v>
      </c>
      <c r="H313" s="3" t="s">
        <v>26</v>
      </c>
      <c r="I313" s="3" t="s">
        <v>286</v>
      </c>
      <c r="J313" s="6" t="str">
        <f>HYPERLINK("http://www.glglex.com","www.glglex.com")</f>
        <v>www.glglex.com</v>
      </c>
    </row>
    <row r="314" spans="2:10" x14ac:dyDescent="0.2">
      <c r="B314" s="5" t="s">
        <v>767</v>
      </c>
      <c r="C314" s="5" t="s">
        <v>768</v>
      </c>
      <c r="D314" s="5" t="s">
        <v>97</v>
      </c>
      <c r="E314" s="7">
        <v>1</v>
      </c>
      <c r="F314" s="5" t="s">
        <v>13</v>
      </c>
      <c r="G314" s="5" t="s">
        <v>14</v>
      </c>
      <c r="H314" s="5" t="s">
        <v>15</v>
      </c>
      <c r="I314" s="5" t="s">
        <v>16</v>
      </c>
      <c r="J314" s="1" t="str">
        <f>HYPERLINK("http://www.ghicfunds.org","www.ghicfunds.org")</f>
        <v>www.ghicfunds.org</v>
      </c>
    </row>
    <row r="315" spans="2:10" x14ac:dyDescent="0.2">
      <c r="B315" s="3" t="s">
        <v>769</v>
      </c>
      <c r="C315" s="3" t="s">
        <v>770</v>
      </c>
      <c r="D315" s="3" t="s">
        <v>12</v>
      </c>
      <c r="E315" s="4">
        <v>42</v>
      </c>
      <c r="F315" s="3" t="s">
        <v>24</v>
      </c>
      <c r="G315" s="3" t="s">
        <v>25</v>
      </c>
      <c r="H315" s="3" t="s">
        <v>26</v>
      </c>
      <c r="I315" s="3" t="s">
        <v>27</v>
      </c>
      <c r="J315" s="6" t="str">
        <f>HYPERLINK("http://www.globalscopepartners.com","www.globalscopepartners.com")</f>
        <v>www.globalscopepartners.com</v>
      </c>
    </row>
    <row r="316" spans="2:10" x14ac:dyDescent="0.2">
      <c r="B316" s="5" t="s">
        <v>771</v>
      </c>
      <c r="C316" s="5" t="s">
        <v>10</v>
      </c>
      <c r="D316" s="5" t="s">
        <v>134</v>
      </c>
      <c r="E316" s="7" t="s">
        <v>10</v>
      </c>
      <c r="F316" s="5" t="s">
        <v>106</v>
      </c>
      <c r="G316" s="5" t="s">
        <v>107</v>
      </c>
      <c r="H316" s="5" t="s">
        <v>26</v>
      </c>
      <c r="I316" s="5" t="s">
        <v>27</v>
      </c>
      <c r="J316" s="1" t="str">
        <f>HYPERLINK("http://www.goodup.com","www.goodup.com")</f>
        <v>www.goodup.com</v>
      </c>
    </row>
    <row r="317" spans="2:10" x14ac:dyDescent="0.2">
      <c r="B317" s="3" t="s">
        <v>772</v>
      </c>
      <c r="C317" s="3" t="s">
        <v>773</v>
      </c>
      <c r="D317" s="3" t="s">
        <v>23</v>
      </c>
      <c r="E317" s="4" t="s">
        <v>10</v>
      </c>
      <c r="F317" s="3" t="s">
        <v>774</v>
      </c>
      <c r="G317" s="3" t="s">
        <v>25</v>
      </c>
      <c r="H317" s="3" t="s">
        <v>26</v>
      </c>
      <c r="I317" s="3" t="s">
        <v>27</v>
      </c>
      <c r="J317" s="6" t="str">
        <f>HYPERLINK("http://gordonbrownlaw.co.uk","gordonbrownlaw.co.uk")</f>
        <v>gordonbrownlaw.co.uk</v>
      </c>
    </row>
    <row r="318" spans="2:10" x14ac:dyDescent="0.2">
      <c r="B318" s="5" t="s">
        <v>775</v>
      </c>
      <c r="C318" s="5" t="s">
        <v>776</v>
      </c>
      <c r="D318" s="5" t="s">
        <v>44</v>
      </c>
      <c r="E318" s="7">
        <v>1877</v>
      </c>
      <c r="F318" s="5" t="s">
        <v>777</v>
      </c>
      <c r="G318" s="5" t="s">
        <v>94</v>
      </c>
      <c r="H318" s="5" t="s">
        <v>26</v>
      </c>
      <c r="I318" s="5" t="s">
        <v>27</v>
      </c>
      <c r="J318" s="1" t="str">
        <f>HYPERLINK("http://www.grantthornton.fr","www.grantthornton.fr")</f>
        <v>www.grantthornton.fr</v>
      </c>
    </row>
    <row r="319" spans="2:10" x14ac:dyDescent="0.2">
      <c r="B319" s="3" t="s">
        <v>778</v>
      </c>
      <c r="C319" s="3" t="s">
        <v>779</v>
      </c>
      <c r="D319" s="3" t="s">
        <v>484</v>
      </c>
      <c r="E319" s="4" t="s">
        <v>10</v>
      </c>
      <c r="F319" s="3" t="s">
        <v>24</v>
      </c>
      <c r="G319" s="3" t="s">
        <v>25</v>
      </c>
      <c r="H319" s="3" t="s">
        <v>26</v>
      </c>
      <c r="I319" s="3" t="s">
        <v>27</v>
      </c>
      <c r="J319" s="6" t="str">
        <f>HYPERLINK("http://www.greenbrookadvisory.com","www.greenbrookadvisory.com")</f>
        <v>www.greenbrookadvisory.com</v>
      </c>
    </row>
    <row r="320" spans="2:10" x14ac:dyDescent="0.2">
      <c r="B320" s="5" t="s">
        <v>780</v>
      </c>
      <c r="C320" s="5" t="s">
        <v>781</v>
      </c>
      <c r="D320" s="5" t="s">
        <v>33</v>
      </c>
      <c r="E320" s="7">
        <v>214</v>
      </c>
      <c r="F320" s="5" t="s">
        <v>782</v>
      </c>
      <c r="G320" s="5" t="s">
        <v>84</v>
      </c>
      <c r="H320" s="5" t="s">
        <v>49</v>
      </c>
      <c r="I320" s="5" t="s">
        <v>85</v>
      </c>
      <c r="J320" s="1" t="str">
        <f>HYPERLINK("http://www.grindrodbank.co.za","www.grindrodbank.co.za")</f>
        <v>www.grindrodbank.co.za</v>
      </c>
    </row>
    <row r="321" spans="2:10" x14ac:dyDescent="0.2">
      <c r="B321" s="3" t="s">
        <v>783</v>
      </c>
      <c r="C321" s="3" t="s">
        <v>784</v>
      </c>
      <c r="D321" s="3" t="s">
        <v>97</v>
      </c>
      <c r="E321" s="4">
        <v>10</v>
      </c>
      <c r="F321" s="3" t="s">
        <v>190</v>
      </c>
      <c r="G321" s="3" t="s">
        <v>84</v>
      </c>
      <c r="H321" s="3" t="s">
        <v>49</v>
      </c>
      <c r="I321" s="3" t="s">
        <v>85</v>
      </c>
      <c r="J321" s="6" t="str">
        <f>HYPERLINK("http://www.havaic.com","www.havaic.com")</f>
        <v>www.havaic.com</v>
      </c>
    </row>
    <row r="322" spans="2:10" x14ac:dyDescent="0.2">
      <c r="B322" s="5" t="s">
        <v>785</v>
      </c>
      <c r="C322" s="5" t="s">
        <v>10</v>
      </c>
      <c r="D322" s="5" t="s">
        <v>338</v>
      </c>
      <c r="E322" s="7" t="s">
        <v>10</v>
      </c>
      <c r="F322" s="5" t="s">
        <v>24</v>
      </c>
      <c r="G322" s="5" t="s">
        <v>25</v>
      </c>
      <c r="H322" s="5" t="s">
        <v>26</v>
      </c>
      <c r="I322" s="5" t="s">
        <v>27</v>
      </c>
      <c r="J322" s="1" t="str">
        <f>HYPERLINK("http://www.heliosinvestment.com","www.heliosinvestment.com")</f>
        <v>www.heliosinvestment.com</v>
      </c>
    </row>
    <row r="323" spans="2:10" x14ac:dyDescent="0.2">
      <c r="B323" s="3" t="s">
        <v>786</v>
      </c>
      <c r="C323" s="3" t="s">
        <v>787</v>
      </c>
      <c r="D323" s="3" t="s">
        <v>23</v>
      </c>
      <c r="E323" s="4">
        <v>6122</v>
      </c>
      <c r="F323" s="3" t="s">
        <v>24</v>
      </c>
      <c r="G323" s="3" t="s">
        <v>25</v>
      </c>
      <c r="H323" s="3" t="s">
        <v>26</v>
      </c>
      <c r="I323" s="3" t="s">
        <v>27</v>
      </c>
      <c r="J323" s="6" t="str">
        <f>HYPERLINK("http://www.herbertsmithfreehills.com","www.herbertsmithfreehills.com")</f>
        <v>www.herbertsmithfreehills.com</v>
      </c>
    </row>
    <row r="324" spans="2:10" x14ac:dyDescent="0.2">
      <c r="B324" s="5" t="s">
        <v>788</v>
      </c>
      <c r="C324" s="5" t="s">
        <v>10</v>
      </c>
      <c r="D324" s="5" t="s">
        <v>23</v>
      </c>
      <c r="E324" s="7" t="s">
        <v>10</v>
      </c>
      <c r="F324" s="5" t="s">
        <v>10</v>
      </c>
      <c r="G324" s="5" t="s">
        <v>10</v>
      </c>
      <c r="H324" s="5" t="s">
        <v>10</v>
      </c>
      <c r="I324" s="5" t="s">
        <v>10</v>
      </c>
      <c r="J324" s="5" t="s">
        <v>10</v>
      </c>
    </row>
    <row r="325" spans="2:10" x14ac:dyDescent="0.2">
      <c r="B325" s="3" t="s">
        <v>789</v>
      </c>
      <c r="C325" s="3" t="s">
        <v>10</v>
      </c>
      <c r="D325" s="3" t="s">
        <v>23</v>
      </c>
      <c r="E325" s="4" t="s">
        <v>10</v>
      </c>
      <c r="F325" s="3" t="s">
        <v>351</v>
      </c>
      <c r="G325" s="3" t="s">
        <v>84</v>
      </c>
      <c r="H325" s="3" t="s">
        <v>49</v>
      </c>
      <c r="I325" s="3" t="s">
        <v>85</v>
      </c>
      <c r="J325" s="3" t="s">
        <v>10</v>
      </c>
    </row>
    <row r="326" spans="2:10" x14ac:dyDescent="0.2">
      <c r="B326" s="5" t="s">
        <v>790</v>
      </c>
      <c r="C326" s="5" t="s">
        <v>791</v>
      </c>
      <c r="D326" s="5" t="s">
        <v>33</v>
      </c>
      <c r="E326" s="7" t="s">
        <v>10</v>
      </c>
      <c r="F326" s="5" t="s">
        <v>792</v>
      </c>
      <c r="G326" s="5" t="s">
        <v>25</v>
      </c>
      <c r="H326" s="5" t="s">
        <v>26</v>
      </c>
      <c r="I326" s="5" t="s">
        <v>27</v>
      </c>
      <c r="J326" s="1" t="str">
        <f>HYPERLINK("http://www.hsbc.co.uk","www.hsbc.co.uk")</f>
        <v>www.hsbc.co.uk</v>
      </c>
    </row>
    <row r="327" spans="2:10" x14ac:dyDescent="0.2">
      <c r="B327" s="3" t="s">
        <v>793</v>
      </c>
      <c r="C327" s="3" t="s">
        <v>794</v>
      </c>
      <c r="D327" s="3" t="s">
        <v>23</v>
      </c>
      <c r="E327" s="4">
        <v>1724</v>
      </c>
      <c r="F327" s="3" t="s">
        <v>559</v>
      </c>
      <c r="G327" s="3" t="s">
        <v>551</v>
      </c>
      <c r="H327" s="3" t="s">
        <v>552</v>
      </c>
      <c r="I327" s="3" t="s">
        <v>552</v>
      </c>
      <c r="J327" s="6" t="str">
        <f>HYPERLINK("http://www.hwlebsworth.com.au","www.hwlebsworth.com.au")</f>
        <v>www.hwlebsworth.com.au</v>
      </c>
    </row>
    <row r="328" spans="2:10" x14ac:dyDescent="0.2">
      <c r="B328" s="5" t="s">
        <v>795</v>
      </c>
      <c r="C328" s="5" t="s">
        <v>796</v>
      </c>
      <c r="D328" s="5" t="s">
        <v>23</v>
      </c>
      <c r="E328" s="7">
        <v>14</v>
      </c>
      <c r="F328" s="5" t="s">
        <v>47</v>
      </c>
      <c r="G328" s="5" t="s">
        <v>48</v>
      </c>
      <c r="H328" s="5" t="s">
        <v>49</v>
      </c>
      <c r="I328" s="5" t="s">
        <v>50</v>
      </c>
      <c r="J328" s="1" t="str">
        <f>HYPERLINK("http://www.ibrachy.com","www.ibrachy.com")</f>
        <v>www.ibrachy.com</v>
      </c>
    </row>
    <row r="329" spans="2:10" x14ac:dyDescent="0.2">
      <c r="B329" s="3" t="s">
        <v>797</v>
      </c>
      <c r="C329" s="3" t="s">
        <v>10</v>
      </c>
      <c r="D329" s="3" t="s">
        <v>189</v>
      </c>
      <c r="E329" s="4" t="s">
        <v>10</v>
      </c>
      <c r="F329" s="3" t="s">
        <v>798</v>
      </c>
      <c r="G329" s="3" t="s">
        <v>14</v>
      </c>
      <c r="H329" s="3" t="s">
        <v>15</v>
      </c>
      <c r="I329" s="3" t="s">
        <v>16</v>
      </c>
      <c r="J329" s="3" t="s">
        <v>10</v>
      </c>
    </row>
    <row r="330" spans="2:10" x14ac:dyDescent="0.2">
      <c r="B330" s="5" t="s">
        <v>799</v>
      </c>
      <c r="C330" s="5" t="s">
        <v>800</v>
      </c>
      <c r="D330" s="5" t="s">
        <v>30</v>
      </c>
      <c r="E330" s="7" t="s">
        <v>10</v>
      </c>
      <c r="F330" s="5" t="s">
        <v>801</v>
      </c>
      <c r="G330" s="5" t="s">
        <v>14</v>
      </c>
      <c r="H330" s="5" t="s">
        <v>15</v>
      </c>
      <c r="I330" s="5" t="s">
        <v>16</v>
      </c>
      <c r="J330" s="1" t="str">
        <f>HYPERLINK("http://www.ibisfc.com","www.ibisfc.com")</f>
        <v>www.ibisfc.com</v>
      </c>
    </row>
    <row r="331" spans="2:10" x14ac:dyDescent="0.2">
      <c r="B331" s="3" t="s">
        <v>802</v>
      </c>
      <c r="C331" s="3" t="s">
        <v>803</v>
      </c>
      <c r="D331" s="3" t="s">
        <v>23</v>
      </c>
      <c r="E331" s="4">
        <v>82</v>
      </c>
      <c r="F331" s="3" t="s">
        <v>804</v>
      </c>
      <c r="G331" s="3" t="s">
        <v>48</v>
      </c>
      <c r="H331" s="3" t="s">
        <v>49</v>
      </c>
      <c r="I331" s="3" t="s">
        <v>50</v>
      </c>
      <c r="J331" s="6" t="str">
        <f>HYPERLINK("http://id.com.eg","id.com.eg")</f>
        <v>id.com.eg</v>
      </c>
    </row>
    <row r="332" spans="2:10" x14ac:dyDescent="0.2">
      <c r="B332" s="5" t="s">
        <v>805</v>
      </c>
      <c r="C332" s="5" t="s">
        <v>806</v>
      </c>
      <c r="D332" s="5" t="s">
        <v>97</v>
      </c>
      <c r="E332" s="7">
        <v>8</v>
      </c>
      <c r="F332" s="5" t="s">
        <v>807</v>
      </c>
      <c r="G332" s="5" t="s">
        <v>808</v>
      </c>
      <c r="H332" s="5" t="s">
        <v>26</v>
      </c>
      <c r="I332" s="5" t="s">
        <v>286</v>
      </c>
      <c r="J332" s="1" t="str">
        <f>HYPERLINK("http://www.imap-see.com","www.imap-see.com")</f>
        <v>www.imap-see.com</v>
      </c>
    </row>
    <row r="333" spans="2:10" x14ac:dyDescent="0.2">
      <c r="B333" s="3" t="s">
        <v>809</v>
      </c>
      <c r="C333" s="3" t="s">
        <v>810</v>
      </c>
      <c r="D333" s="3" t="s">
        <v>30</v>
      </c>
      <c r="E333" s="4">
        <v>64</v>
      </c>
      <c r="F333" s="3" t="s">
        <v>811</v>
      </c>
      <c r="G333" s="3" t="s">
        <v>14</v>
      </c>
      <c r="H333" s="3" t="s">
        <v>15</v>
      </c>
      <c r="I333" s="3" t="s">
        <v>16</v>
      </c>
      <c r="J333" s="6" t="str">
        <f>HYPERLINK("http://www.impactassets.org","www.impactassets.org")</f>
        <v>www.impactassets.org</v>
      </c>
    </row>
    <row r="334" spans="2:10" x14ac:dyDescent="0.2">
      <c r="B334" s="5" t="s">
        <v>812</v>
      </c>
      <c r="C334" s="5" t="s">
        <v>813</v>
      </c>
      <c r="D334" s="5" t="s">
        <v>97</v>
      </c>
      <c r="E334" s="7" t="s">
        <v>10</v>
      </c>
      <c r="F334" s="5" t="s">
        <v>13</v>
      </c>
      <c r="G334" s="5" t="s">
        <v>14</v>
      </c>
      <c r="H334" s="5" t="s">
        <v>15</v>
      </c>
      <c r="I334" s="5" t="s">
        <v>16</v>
      </c>
      <c r="J334" s="1" t="str">
        <f>HYPERLINK("http://www.ingmarkets.com","www.ingmarkets.com")</f>
        <v>www.ingmarkets.com</v>
      </c>
    </row>
    <row r="335" spans="2:10" x14ac:dyDescent="0.2">
      <c r="B335" s="3" t="s">
        <v>814</v>
      </c>
      <c r="C335" s="3" t="s">
        <v>815</v>
      </c>
      <c r="D335" s="3" t="s">
        <v>23</v>
      </c>
      <c r="E335" s="4">
        <v>18</v>
      </c>
      <c r="F335" s="3" t="s">
        <v>106</v>
      </c>
      <c r="G335" s="3" t="s">
        <v>107</v>
      </c>
      <c r="H335" s="3" t="s">
        <v>26</v>
      </c>
      <c r="I335" s="3" t="s">
        <v>27</v>
      </c>
      <c r="J335" s="6" t="str">
        <f>HYPERLINK("http://www.ingenhousz.com","www.ingenhousz.com")</f>
        <v>www.ingenhousz.com</v>
      </c>
    </row>
    <row r="336" spans="2:10" x14ac:dyDescent="0.2">
      <c r="B336" s="5" t="s">
        <v>816</v>
      </c>
      <c r="C336" s="5" t="s">
        <v>817</v>
      </c>
      <c r="D336" s="5" t="s">
        <v>30</v>
      </c>
      <c r="E336" s="7">
        <v>19</v>
      </c>
      <c r="F336" s="5" t="s">
        <v>708</v>
      </c>
      <c r="G336" s="5" t="s">
        <v>407</v>
      </c>
      <c r="H336" s="5" t="s">
        <v>236</v>
      </c>
      <c r="I336" s="5" t="s">
        <v>408</v>
      </c>
      <c r="J336" s="1" t="str">
        <f>HYPERLINK("http://www.innovencapital.com","www.innovencapital.com")</f>
        <v>www.innovencapital.com</v>
      </c>
    </row>
    <row r="337" spans="2:10" x14ac:dyDescent="0.2">
      <c r="B337" s="3" t="s">
        <v>818</v>
      </c>
      <c r="C337" s="3" t="s">
        <v>819</v>
      </c>
      <c r="D337" s="3" t="s">
        <v>331</v>
      </c>
      <c r="E337" s="4">
        <v>300</v>
      </c>
      <c r="F337" s="3" t="s">
        <v>820</v>
      </c>
      <c r="G337" s="3" t="s">
        <v>821</v>
      </c>
      <c r="H337" s="3" t="s">
        <v>15</v>
      </c>
      <c r="I337" s="3" t="s">
        <v>822</v>
      </c>
      <c r="J337" s="6" t="str">
        <f>HYPERLINK("http://www.integrationconsulting.com","www.integrationconsulting.com")</f>
        <v>www.integrationconsulting.com</v>
      </c>
    </row>
    <row r="338" spans="2:10" x14ac:dyDescent="0.2">
      <c r="B338" s="5" t="s">
        <v>823</v>
      </c>
      <c r="C338" s="5" t="s">
        <v>824</v>
      </c>
      <c r="D338" s="5" t="s">
        <v>30</v>
      </c>
      <c r="E338" s="7">
        <v>6722</v>
      </c>
      <c r="F338" s="5" t="s">
        <v>226</v>
      </c>
      <c r="G338" s="5" t="s">
        <v>14</v>
      </c>
      <c r="H338" s="5" t="s">
        <v>15</v>
      </c>
      <c r="I338" s="5" t="s">
        <v>16</v>
      </c>
      <c r="J338" s="1" t="str">
        <f>HYPERLINK("http://www.invesco.com","www.invesco.com")</f>
        <v>www.invesco.com</v>
      </c>
    </row>
    <row r="339" spans="2:10" x14ac:dyDescent="0.2">
      <c r="B339" s="3" t="s">
        <v>825</v>
      </c>
      <c r="C339" s="3" t="s">
        <v>826</v>
      </c>
      <c r="D339" s="3" t="s">
        <v>30</v>
      </c>
      <c r="E339" s="4" t="s">
        <v>10</v>
      </c>
      <c r="F339" s="3" t="s">
        <v>827</v>
      </c>
      <c r="G339" s="3" t="s">
        <v>551</v>
      </c>
      <c r="H339" s="3" t="s">
        <v>552</v>
      </c>
      <c r="I339" s="3" t="s">
        <v>552</v>
      </c>
      <c r="J339" s="6" t="str">
        <f>HYPERLINK("http://www.investec.com.au","www.investec.com.au")</f>
        <v>www.investec.com.au</v>
      </c>
    </row>
    <row r="340" spans="2:10" x14ac:dyDescent="0.2">
      <c r="B340" s="5" t="s">
        <v>828</v>
      </c>
      <c r="C340" s="5" t="s">
        <v>829</v>
      </c>
      <c r="D340" s="5" t="s">
        <v>30</v>
      </c>
      <c r="E340" s="7">
        <v>32</v>
      </c>
      <c r="F340" s="5" t="s">
        <v>830</v>
      </c>
      <c r="G340" s="5" t="s">
        <v>831</v>
      </c>
      <c r="H340" s="5" t="s">
        <v>49</v>
      </c>
      <c r="I340" s="5" t="s">
        <v>58</v>
      </c>
      <c r="J340" s="1" t="str">
        <f>HYPERLINK("http://www.ietp.com","www.ietp.com")</f>
        <v>www.ietp.com</v>
      </c>
    </row>
    <row r="341" spans="2:10" x14ac:dyDescent="0.2">
      <c r="B341" s="3" t="s">
        <v>832</v>
      </c>
      <c r="C341" s="3" t="s">
        <v>833</v>
      </c>
      <c r="D341" s="3" t="s">
        <v>12</v>
      </c>
      <c r="E341" s="4" t="s">
        <v>10</v>
      </c>
      <c r="F341" s="3" t="s">
        <v>24</v>
      </c>
      <c r="G341" s="3" t="s">
        <v>25</v>
      </c>
      <c r="H341" s="3" t="s">
        <v>26</v>
      </c>
      <c r="I341" s="3" t="s">
        <v>27</v>
      </c>
      <c r="J341" s="6" t="str">
        <f>HYPERLINK("http://www.seymourpierce.com","www.seymourpierce.com")</f>
        <v>www.seymourpierce.com</v>
      </c>
    </row>
    <row r="342" spans="2:10" x14ac:dyDescent="0.2">
      <c r="B342" s="5" t="s">
        <v>834</v>
      </c>
      <c r="C342" s="5" t="s">
        <v>835</v>
      </c>
      <c r="D342" s="5" t="s">
        <v>23</v>
      </c>
      <c r="E342" s="7">
        <v>2187</v>
      </c>
      <c r="F342" s="5" t="s">
        <v>284</v>
      </c>
      <c r="G342" s="5" t="s">
        <v>285</v>
      </c>
      <c r="H342" s="5" t="s">
        <v>26</v>
      </c>
      <c r="I342" s="5" t="s">
        <v>286</v>
      </c>
      <c r="J342" s="1" t="str">
        <f>HYPERLINK("http://www.garrigues.com","www.garrigues.com")</f>
        <v>www.garrigues.com</v>
      </c>
    </row>
    <row r="343" spans="2:10" x14ac:dyDescent="0.2">
      <c r="B343" s="3" t="s">
        <v>836</v>
      </c>
      <c r="C343" s="3" t="s">
        <v>837</v>
      </c>
      <c r="D343" s="3" t="s">
        <v>23</v>
      </c>
      <c r="E343" s="4" t="s">
        <v>10</v>
      </c>
      <c r="F343" s="3" t="s">
        <v>458</v>
      </c>
      <c r="G343" s="3" t="s">
        <v>94</v>
      </c>
      <c r="H343" s="3" t="s">
        <v>26</v>
      </c>
      <c r="I343" s="3" t="s">
        <v>27</v>
      </c>
      <c r="J343" s="6" t="str">
        <f>HYPERLINK("http://www.j-associes.fr","www.j-associes.fr")</f>
        <v>www.j-associes.fr</v>
      </c>
    </row>
    <row r="344" spans="2:10" x14ac:dyDescent="0.2">
      <c r="B344" s="5" t="s">
        <v>838</v>
      </c>
      <c r="C344" s="5" t="s">
        <v>839</v>
      </c>
      <c r="D344" s="5" t="s">
        <v>23</v>
      </c>
      <c r="E344" s="7">
        <v>150</v>
      </c>
      <c r="F344" s="5" t="s">
        <v>76</v>
      </c>
      <c r="G344" s="5" t="s">
        <v>77</v>
      </c>
      <c r="H344" s="5" t="s">
        <v>49</v>
      </c>
      <c r="I344" s="5" t="s">
        <v>78</v>
      </c>
      <c r="J344" s="1" t="str">
        <f>HYPERLINK("http://www.kaplanstratton.com","www.kaplanstratton.com")</f>
        <v>www.kaplanstratton.com</v>
      </c>
    </row>
    <row r="345" spans="2:10" x14ac:dyDescent="0.2">
      <c r="B345" s="3" t="s">
        <v>840</v>
      </c>
      <c r="C345" s="3" t="s">
        <v>10</v>
      </c>
      <c r="D345" s="3" t="s">
        <v>97</v>
      </c>
      <c r="E345" s="4" t="s">
        <v>10</v>
      </c>
      <c r="F345" s="3" t="s">
        <v>517</v>
      </c>
      <c r="G345" s="3" t="s">
        <v>275</v>
      </c>
      <c r="H345" s="3" t="s">
        <v>223</v>
      </c>
      <c r="I345" s="3" t="s">
        <v>223</v>
      </c>
      <c r="J345" s="6" t="str">
        <f>HYPERLINK("http://www.kcpcapital.com","www.kcpcapital.com")</f>
        <v>www.kcpcapital.com</v>
      </c>
    </row>
    <row r="346" spans="2:10" x14ac:dyDescent="0.2">
      <c r="B346" s="5" t="s">
        <v>841</v>
      </c>
      <c r="C346" s="5" t="s">
        <v>842</v>
      </c>
      <c r="D346" s="5" t="s">
        <v>23</v>
      </c>
      <c r="E346" s="7">
        <v>461</v>
      </c>
      <c r="F346" s="5" t="s">
        <v>40</v>
      </c>
      <c r="G346" s="5" t="s">
        <v>41</v>
      </c>
      <c r="H346" s="5" t="s">
        <v>26</v>
      </c>
      <c r="I346" s="5" t="s">
        <v>27</v>
      </c>
      <c r="J346" s="1" t="str">
        <f>HYPERLINK("http://www.kellerhals-carrard.ch","www.kellerhals-carrard.ch")</f>
        <v>www.kellerhals-carrard.ch</v>
      </c>
    </row>
    <row r="347" spans="2:10" x14ac:dyDescent="0.2">
      <c r="B347" s="3" t="s">
        <v>843</v>
      </c>
      <c r="C347" s="3" t="s">
        <v>844</v>
      </c>
      <c r="D347" s="3" t="s">
        <v>30</v>
      </c>
      <c r="E347" s="4">
        <v>9</v>
      </c>
      <c r="F347" s="3" t="s">
        <v>76</v>
      </c>
      <c r="G347" s="3" t="s">
        <v>77</v>
      </c>
      <c r="H347" s="3" t="s">
        <v>49</v>
      </c>
      <c r="I347" s="3" t="s">
        <v>78</v>
      </c>
      <c r="J347" s="6" t="str">
        <f>HYPERLINK("http://www.kcv.co.ke","www.kcv.co.ke")</f>
        <v>www.kcv.co.ke</v>
      </c>
    </row>
    <row r="348" spans="2:10" x14ac:dyDescent="0.2">
      <c r="B348" s="5" t="s">
        <v>845</v>
      </c>
      <c r="C348" s="5" t="s">
        <v>846</v>
      </c>
      <c r="D348" s="5" t="s">
        <v>23</v>
      </c>
      <c r="E348" s="7">
        <v>110</v>
      </c>
      <c r="F348" s="5" t="s">
        <v>145</v>
      </c>
      <c r="G348" s="5" t="s">
        <v>146</v>
      </c>
      <c r="H348" s="5" t="s">
        <v>49</v>
      </c>
      <c r="I348" s="5" t="s">
        <v>50</v>
      </c>
      <c r="J348" s="1" t="str">
        <f>HYPERLINK("http://www.kettlaw.com","www.kettlaw.com")</f>
        <v>www.kettlaw.com</v>
      </c>
    </row>
    <row r="349" spans="2:10" x14ac:dyDescent="0.2">
      <c r="B349" s="3" t="s">
        <v>847</v>
      </c>
      <c r="C349" s="3" t="s">
        <v>848</v>
      </c>
      <c r="D349" s="3" t="s">
        <v>12</v>
      </c>
      <c r="E349" s="4">
        <v>9</v>
      </c>
      <c r="F349" s="3" t="s">
        <v>849</v>
      </c>
      <c r="G349" s="3" t="s">
        <v>14</v>
      </c>
      <c r="H349" s="3" t="s">
        <v>15</v>
      </c>
      <c r="I349" s="3" t="s">
        <v>16</v>
      </c>
      <c r="J349" s="6" t="str">
        <f>HYPERLINK("http://www.keystone-cap.com","www.keystone-cap.com")</f>
        <v>www.keystone-cap.com</v>
      </c>
    </row>
    <row r="350" spans="2:10" x14ac:dyDescent="0.2">
      <c r="B350" s="5" t="s">
        <v>850</v>
      </c>
      <c r="C350" s="5" t="s">
        <v>851</v>
      </c>
      <c r="D350" s="5" t="s">
        <v>134</v>
      </c>
      <c r="E350" s="7">
        <v>352</v>
      </c>
      <c r="F350" s="5" t="s">
        <v>13</v>
      </c>
      <c r="G350" s="5" t="s">
        <v>14</v>
      </c>
      <c r="H350" s="5" t="s">
        <v>15</v>
      </c>
      <c r="I350" s="5" t="s">
        <v>16</v>
      </c>
      <c r="J350" s="1" t="str">
        <f>HYPERLINK("http://www.kickstarter.com","www.kickstarter.com")</f>
        <v>www.kickstarter.com</v>
      </c>
    </row>
    <row r="351" spans="2:10" x14ac:dyDescent="0.2">
      <c r="B351" s="3" t="s">
        <v>852</v>
      </c>
      <c r="C351" s="3" t="s">
        <v>853</v>
      </c>
      <c r="D351" s="3" t="s">
        <v>23</v>
      </c>
      <c r="E351" s="4">
        <v>25</v>
      </c>
      <c r="F351" s="3" t="s">
        <v>487</v>
      </c>
      <c r="G351" s="3" t="s">
        <v>308</v>
      </c>
      <c r="H351" s="3" t="s">
        <v>49</v>
      </c>
      <c r="I351" s="3" t="s">
        <v>58</v>
      </c>
      <c r="J351" s="6" t="str">
        <f>HYPERLINK("http://www.kimathilegal.com","www.kimathilegal.com")</f>
        <v>www.kimathilegal.com</v>
      </c>
    </row>
    <row r="352" spans="2:10" x14ac:dyDescent="0.2">
      <c r="B352" s="5" t="s">
        <v>854</v>
      </c>
      <c r="C352" s="5" t="s">
        <v>10</v>
      </c>
      <c r="D352" s="5" t="s">
        <v>36</v>
      </c>
      <c r="E352" s="7" t="s">
        <v>10</v>
      </c>
      <c r="F352" s="5" t="s">
        <v>110</v>
      </c>
      <c r="G352" s="5" t="s">
        <v>14</v>
      </c>
      <c r="H352" s="5" t="s">
        <v>15</v>
      </c>
      <c r="I352" s="5" t="s">
        <v>16</v>
      </c>
      <c r="J352" s="1" t="str">
        <f>HYPERLINK("http://www.kivacapitalpartners.com","www.kivacapitalpartners.com")</f>
        <v>www.kivacapitalpartners.com</v>
      </c>
    </row>
    <row r="353" spans="2:10" x14ac:dyDescent="0.2">
      <c r="B353" s="3" t="s">
        <v>855</v>
      </c>
      <c r="C353" s="3" t="s">
        <v>856</v>
      </c>
      <c r="D353" s="3" t="s">
        <v>23</v>
      </c>
      <c r="E353" s="4">
        <v>54</v>
      </c>
      <c r="F353" s="3" t="s">
        <v>857</v>
      </c>
      <c r="G353" s="3" t="s">
        <v>14</v>
      </c>
      <c r="H353" s="3" t="s">
        <v>15</v>
      </c>
      <c r="I353" s="3" t="s">
        <v>16</v>
      </c>
      <c r="J353" s="6" t="str">
        <f>HYPERLINK("http://www.kofirm.com","www.kofirm.com")</f>
        <v>www.kofirm.com</v>
      </c>
    </row>
    <row r="354" spans="2:10" x14ac:dyDescent="0.2">
      <c r="B354" s="5" t="s">
        <v>858</v>
      </c>
      <c r="C354" s="5" t="s">
        <v>859</v>
      </c>
      <c r="D354" s="5" t="s">
        <v>30</v>
      </c>
      <c r="E354" s="7">
        <v>9515</v>
      </c>
      <c r="F354" s="5" t="s">
        <v>13</v>
      </c>
      <c r="G354" s="5" t="s">
        <v>14</v>
      </c>
      <c r="H354" s="5" t="s">
        <v>15</v>
      </c>
      <c r="I354" s="5" t="s">
        <v>16</v>
      </c>
      <c r="J354" s="1" t="str">
        <f>HYPERLINK("http://www.kkr.com","www.kkr.com")</f>
        <v>www.kkr.com</v>
      </c>
    </row>
    <row r="355" spans="2:10" x14ac:dyDescent="0.2">
      <c r="B355" s="3" t="s">
        <v>860</v>
      </c>
      <c r="C355" s="3" t="s">
        <v>861</v>
      </c>
      <c r="D355" s="3" t="s">
        <v>12</v>
      </c>
      <c r="E355" s="4">
        <v>649</v>
      </c>
      <c r="F355" s="3" t="s">
        <v>863</v>
      </c>
      <c r="G355" s="3" t="s">
        <v>864</v>
      </c>
      <c r="H355" s="3" t="s">
        <v>236</v>
      </c>
      <c r="I355" s="3" t="s">
        <v>237</v>
      </c>
      <c r="J355" s="6" t="str">
        <f>HYPERLINK("http://www.truefriend.com/eng/main.jsp","www.truefriend.com/eng/main.jsp")</f>
        <v>www.truefriend.com/eng/main.jsp</v>
      </c>
    </row>
    <row r="356" spans="2:10" x14ac:dyDescent="0.2">
      <c r="B356" s="5" t="s">
        <v>865</v>
      </c>
      <c r="C356" s="5" t="s">
        <v>866</v>
      </c>
      <c r="D356" s="5" t="s">
        <v>12</v>
      </c>
      <c r="E356" s="7">
        <v>325</v>
      </c>
      <c r="F356" s="5" t="s">
        <v>122</v>
      </c>
      <c r="G356" s="5" t="s">
        <v>14</v>
      </c>
      <c r="H356" s="5" t="s">
        <v>15</v>
      </c>
      <c r="I356" s="5" t="s">
        <v>16</v>
      </c>
      <c r="J356" s="1" t="str">
        <f>HYPERLINK("http://www.corporatefinance.kpmg.com","www.corporatefinance.kpmg.com")</f>
        <v>www.corporatefinance.kpmg.com</v>
      </c>
    </row>
    <row r="357" spans="2:10" x14ac:dyDescent="0.2">
      <c r="B357" s="3" t="s">
        <v>867</v>
      </c>
      <c r="C357" s="3" t="s">
        <v>10</v>
      </c>
      <c r="D357" s="3" t="s">
        <v>30</v>
      </c>
      <c r="E357" s="4" t="s">
        <v>10</v>
      </c>
      <c r="F357" s="3" t="s">
        <v>90</v>
      </c>
      <c r="G357" s="3" t="s">
        <v>84</v>
      </c>
      <c r="H357" s="3" t="s">
        <v>49</v>
      </c>
      <c r="I357" s="3" t="s">
        <v>85</v>
      </c>
      <c r="J357" s="6" t="str">
        <f>HYPERLINK("http://www.landbank.co.za","www.landbank.co.za")</f>
        <v>www.landbank.co.za</v>
      </c>
    </row>
    <row r="358" spans="2:10" x14ac:dyDescent="0.2">
      <c r="B358" s="5" t="s">
        <v>868</v>
      </c>
      <c r="C358" s="5" t="s">
        <v>869</v>
      </c>
      <c r="D358" s="5" t="s">
        <v>97</v>
      </c>
      <c r="E358" s="7" t="s">
        <v>10</v>
      </c>
      <c r="F358" s="5" t="s">
        <v>76</v>
      </c>
      <c r="G358" s="5" t="s">
        <v>77</v>
      </c>
      <c r="H358" s="5" t="s">
        <v>49</v>
      </c>
      <c r="I358" s="5" t="s">
        <v>78</v>
      </c>
      <c r="J358" s="1" t="str">
        <f>HYPERLINK("http://www.lattice.africa","www.lattice.africa")</f>
        <v>www.lattice.africa</v>
      </c>
    </row>
    <row r="359" spans="2:10" x14ac:dyDescent="0.2">
      <c r="B359" s="3" t="s">
        <v>870</v>
      </c>
      <c r="C359" s="3" t="s">
        <v>871</v>
      </c>
      <c r="D359" s="3" t="s">
        <v>12</v>
      </c>
      <c r="E359" s="4" t="s">
        <v>10</v>
      </c>
      <c r="F359" s="3" t="s">
        <v>244</v>
      </c>
      <c r="G359" s="3" t="s">
        <v>14</v>
      </c>
      <c r="H359" s="3" t="s">
        <v>15</v>
      </c>
      <c r="I359" s="3" t="s">
        <v>16</v>
      </c>
      <c r="J359" s="6" t="str">
        <f>HYPERLINK("http://www.lazardmm.com","www.lazardmm.com")</f>
        <v>www.lazardmm.com</v>
      </c>
    </row>
    <row r="360" spans="2:10" x14ac:dyDescent="0.2">
      <c r="B360" s="5" t="s">
        <v>872</v>
      </c>
      <c r="C360" s="5" t="s">
        <v>873</v>
      </c>
      <c r="D360" s="5" t="s">
        <v>23</v>
      </c>
      <c r="E360" s="7">
        <v>250</v>
      </c>
      <c r="F360" s="5" t="s">
        <v>284</v>
      </c>
      <c r="G360" s="5" t="s">
        <v>285</v>
      </c>
      <c r="H360" s="5" t="s">
        <v>26</v>
      </c>
      <c r="I360" s="5" t="s">
        <v>286</v>
      </c>
      <c r="J360" s="1" t="str">
        <f>HYPERLINK("http://www.lener.es","www.lener.es")</f>
        <v>www.lener.es</v>
      </c>
    </row>
    <row r="361" spans="2:10" x14ac:dyDescent="0.2">
      <c r="B361" s="3" t="s">
        <v>874</v>
      </c>
      <c r="C361" s="3" t="s">
        <v>10</v>
      </c>
      <c r="D361" s="3" t="s">
        <v>97</v>
      </c>
      <c r="E361" s="4" t="s">
        <v>10</v>
      </c>
      <c r="F361" s="3" t="s">
        <v>284</v>
      </c>
      <c r="G361" s="3" t="s">
        <v>285</v>
      </c>
      <c r="H361" s="3" t="s">
        <v>26</v>
      </c>
      <c r="I361" s="3" t="s">
        <v>286</v>
      </c>
      <c r="J361" s="3" t="s">
        <v>10</v>
      </c>
    </row>
    <row r="362" spans="2:10" x14ac:dyDescent="0.2">
      <c r="B362" s="5" t="s">
        <v>875</v>
      </c>
      <c r="C362" s="5" t="s">
        <v>876</v>
      </c>
      <c r="D362" s="5" t="s">
        <v>30</v>
      </c>
      <c r="E362" s="7">
        <v>450</v>
      </c>
      <c r="F362" s="5" t="s">
        <v>93</v>
      </c>
      <c r="G362" s="5" t="s">
        <v>94</v>
      </c>
      <c r="H362" s="5" t="s">
        <v>26</v>
      </c>
      <c r="I362" s="5" t="s">
        <v>27</v>
      </c>
      <c r="J362" s="1" t="str">
        <f>HYPERLINK("http://www.lfpi.fr","www.lfpi.fr")</f>
        <v>www.lfpi.fr</v>
      </c>
    </row>
    <row r="363" spans="2:10" x14ac:dyDescent="0.2">
      <c r="B363" s="3" t="s">
        <v>877</v>
      </c>
      <c r="C363" s="3" t="s">
        <v>878</v>
      </c>
      <c r="D363" s="3" t="s">
        <v>97</v>
      </c>
      <c r="E363" s="4">
        <v>23</v>
      </c>
      <c r="F363" s="3" t="s">
        <v>93</v>
      </c>
      <c r="G363" s="3" t="s">
        <v>94</v>
      </c>
      <c r="H363" s="3" t="s">
        <v>26</v>
      </c>
      <c r="I363" s="3" t="s">
        <v>27</v>
      </c>
      <c r="J363" s="6" t="str">
        <f>HYPERLINK("http://www.linkers.fr","www.linkers.fr")</f>
        <v>www.linkers.fr</v>
      </c>
    </row>
    <row r="364" spans="2:10" x14ac:dyDescent="0.2">
      <c r="B364" s="5" t="s">
        <v>879</v>
      </c>
      <c r="C364" s="5" t="s">
        <v>880</v>
      </c>
      <c r="D364" s="5" t="s">
        <v>23</v>
      </c>
      <c r="E364" s="7">
        <v>7072</v>
      </c>
      <c r="F364" s="5" t="s">
        <v>24</v>
      </c>
      <c r="G364" s="5" t="s">
        <v>25</v>
      </c>
      <c r="H364" s="5" t="s">
        <v>26</v>
      </c>
      <c r="I364" s="5" t="s">
        <v>27</v>
      </c>
      <c r="J364" s="1" t="str">
        <f>HYPERLINK("http://www.linklaters.com","www.linklaters.com")</f>
        <v>www.linklaters.com</v>
      </c>
    </row>
    <row r="365" spans="2:10" x14ac:dyDescent="0.2">
      <c r="B365" s="3" t="s">
        <v>881</v>
      </c>
      <c r="C365" s="3" t="s">
        <v>10</v>
      </c>
      <c r="D365" s="3" t="s">
        <v>23</v>
      </c>
      <c r="E365" s="4" t="s">
        <v>10</v>
      </c>
      <c r="F365" s="3" t="s">
        <v>10</v>
      </c>
      <c r="G365" s="3" t="s">
        <v>10</v>
      </c>
      <c r="H365" s="3" t="s">
        <v>10</v>
      </c>
      <c r="I365" s="3" t="s">
        <v>10</v>
      </c>
      <c r="J365" s="3" t="s">
        <v>10</v>
      </c>
    </row>
    <row r="366" spans="2:10" x14ac:dyDescent="0.2">
      <c r="B366" s="5" t="s">
        <v>882</v>
      </c>
      <c r="C366" s="5" t="s">
        <v>10</v>
      </c>
      <c r="D366" s="5" t="s">
        <v>23</v>
      </c>
      <c r="E366" s="7" t="s">
        <v>10</v>
      </c>
      <c r="F366" s="5" t="s">
        <v>883</v>
      </c>
      <c r="G366" s="5" t="s">
        <v>884</v>
      </c>
      <c r="H366" s="5" t="s">
        <v>49</v>
      </c>
      <c r="I366" s="5" t="s">
        <v>50</v>
      </c>
      <c r="J366" s="5" t="s">
        <v>10</v>
      </c>
    </row>
    <row r="367" spans="2:10" x14ac:dyDescent="0.2">
      <c r="B367" s="3" t="s">
        <v>885</v>
      </c>
      <c r="C367" s="3" t="s">
        <v>10</v>
      </c>
      <c r="D367" s="3" t="s">
        <v>97</v>
      </c>
      <c r="E367" s="4" t="s">
        <v>10</v>
      </c>
      <c r="F367" s="3" t="s">
        <v>24</v>
      </c>
      <c r="G367" s="3" t="s">
        <v>25</v>
      </c>
      <c r="H367" s="3" t="s">
        <v>26</v>
      </c>
      <c r="I367" s="3" t="s">
        <v>27</v>
      </c>
      <c r="J367" s="3" t="s">
        <v>10</v>
      </c>
    </row>
    <row r="368" spans="2:10" x14ac:dyDescent="0.2">
      <c r="B368" s="5" t="s">
        <v>886</v>
      </c>
      <c r="C368" s="5" t="s">
        <v>887</v>
      </c>
      <c r="D368" s="5" t="s">
        <v>97</v>
      </c>
      <c r="E368" s="7" t="s">
        <v>10</v>
      </c>
      <c r="F368" s="5" t="s">
        <v>24</v>
      </c>
      <c r="G368" s="5" t="s">
        <v>25</v>
      </c>
      <c r="H368" s="5" t="s">
        <v>26</v>
      </c>
      <c r="I368" s="5" t="s">
        <v>27</v>
      </c>
      <c r="J368" s="1" t="str">
        <f>HYPERLINK("http://maandate.com","maandate.com")</f>
        <v>maandate.com</v>
      </c>
    </row>
    <row r="369" spans="2:10" x14ac:dyDescent="0.2">
      <c r="B369" s="3" t="s">
        <v>888</v>
      </c>
      <c r="C369" s="3" t="s">
        <v>889</v>
      </c>
      <c r="D369" s="3" t="s">
        <v>30</v>
      </c>
      <c r="E369" s="4">
        <v>12</v>
      </c>
      <c r="F369" s="3" t="s">
        <v>13</v>
      </c>
      <c r="G369" s="3" t="s">
        <v>14</v>
      </c>
      <c r="H369" s="3" t="s">
        <v>15</v>
      </c>
      <c r="I369" s="3" t="s">
        <v>16</v>
      </c>
      <c r="J369" s="6" t="str">
        <f>HYPERLINK("http://www.madrynlp.com","www.madrynlp.com")</f>
        <v>www.madrynlp.com</v>
      </c>
    </row>
    <row r="370" spans="2:10" x14ac:dyDescent="0.2">
      <c r="B370" s="5" t="s">
        <v>890</v>
      </c>
      <c r="C370" s="5" t="s">
        <v>891</v>
      </c>
      <c r="D370" s="5" t="s">
        <v>97</v>
      </c>
      <c r="E370" s="7">
        <v>20</v>
      </c>
      <c r="F370" s="5" t="s">
        <v>145</v>
      </c>
      <c r="G370" s="5" t="s">
        <v>146</v>
      </c>
      <c r="H370" s="5" t="s">
        <v>49</v>
      </c>
      <c r="I370" s="5" t="s">
        <v>50</v>
      </c>
      <c r="J370" s="1" t="str">
        <f>HYPERLINK("http://www.majorellecap.com","www.majorellecap.com")</f>
        <v>www.majorellecap.com</v>
      </c>
    </row>
    <row r="371" spans="2:10" x14ac:dyDescent="0.2">
      <c r="B371" s="3" t="s">
        <v>892</v>
      </c>
      <c r="C371" s="3" t="s">
        <v>893</v>
      </c>
      <c r="D371" s="3" t="s">
        <v>134</v>
      </c>
      <c r="E371" s="4">
        <v>33</v>
      </c>
      <c r="F371" s="3" t="s">
        <v>765</v>
      </c>
      <c r="G371" s="3" t="s">
        <v>766</v>
      </c>
      <c r="H371" s="3" t="s">
        <v>26</v>
      </c>
      <c r="I371" s="3" t="s">
        <v>286</v>
      </c>
      <c r="J371" s="6" t="str">
        <f>HYPERLINK("http://www.mamacrowd.com","www.mamacrowd.com")</f>
        <v>www.mamacrowd.com</v>
      </c>
    </row>
    <row r="372" spans="2:10" x14ac:dyDescent="0.2">
      <c r="B372" s="5" t="s">
        <v>894</v>
      </c>
      <c r="C372" s="5" t="s">
        <v>10</v>
      </c>
      <c r="D372" s="5" t="s">
        <v>189</v>
      </c>
      <c r="E372" s="7" t="s">
        <v>10</v>
      </c>
      <c r="F372" s="5" t="s">
        <v>90</v>
      </c>
      <c r="G372" s="5" t="s">
        <v>84</v>
      </c>
      <c r="H372" s="5" t="s">
        <v>49</v>
      </c>
      <c r="I372" s="5" t="s">
        <v>85</v>
      </c>
      <c r="J372" s="1" t="str">
        <f>HYPERLINK("http://www.marlowsa.com","www.marlowsa.com")</f>
        <v>www.marlowsa.com</v>
      </c>
    </row>
    <row r="373" spans="2:10" x14ac:dyDescent="0.2">
      <c r="B373" s="3" t="s">
        <v>895</v>
      </c>
      <c r="C373" s="3" t="s">
        <v>896</v>
      </c>
      <c r="D373" s="3" t="s">
        <v>33</v>
      </c>
      <c r="E373" s="4">
        <v>3900</v>
      </c>
      <c r="F373" s="3" t="s">
        <v>897</v>
      </c>
      <c r="G373" s="3" t="s">
        <v>584</v>
      </c>
      <c r="H373" s="3" t="s">
        <v>49</v>
      </c>
      <c r="I373" s="3" t="s">
        <v>78</v>
      </c>
      <c r="J373" s="6" t="str">
        <f>HYPERLINK("http://www.mcb.mu","www.mcb.mu")</f>
        <v>www.mcb.mu</v>
      </c>
    </row>
    <row r="374" spans="2:10" x14ac:dyDescent="0.2">
      <c r="B374" s="5" t="s">
        <v>898</v>
      </c>
      <c r="C374" s="5" t="s">
        <v>899</v>
      </c>
      <c r="D374" s="5" t="s">
        <v>23</v>
      </c>
      <c r="E374" s="7" t="s">
        <v>10</v>
      </c>
      <c r="F374" s="5" t="s">
        <v>76</v>
      </c>
      <c r="G374" s="5" t="s">
        <v>77</v>
      </c>
      <c r="H374" s="5" t="s">
        <v>49</v>
      </c>
      <c r="I374" s="5" t="s">
        <v>78</v>
      </c>
      <c r="J374" s="1" t="str">
        <f>HYPERLINK("http://www.lexgroupafrica.com","www.lexgroupafrica.com")</f>
        <v>www.lexgroupafrica.com</v>
      </c>
    </row>
    <row r="375" spans="2:10" x14ac:dyDescent="0.2">
      <c r="B375" s="3" t="s">
        <v>900</v>
      </c>
      <c r="C375" s="3" t="s">
        <v>901</v>
      </c>
      <c r="D375" s="3" t="s">
        <v>12</v>
      </c>
      <c r="E375" s="4" t="s">
        <v>10</v>
      </c>
      <c r="F375" s="3" t="s">
        <v>207</v>
      </c>
      <c r="G375" s="3" t="s">
        <v>14</v>
      </c>
      <c r="H375" s="3" t="s">
        <v>15</v>
      </c>
      <c r="I375" s="3" t="s">
        <v>16</v>
      </c>
      <c r="J375" s="6" t="str">
        <f>HYPERLINK("http://www.mediabridgecap.com","www.mediabridgecap.com")</f>
        <v>www.mediabridgecap.com</v>
      </c>
    </row>
    <row r="376" spans="2:10" x14ac:dyDescent="0.2">
      <c r="B376" s="5" t="s">
        <v>902</v>
      </c>
      <c r="C376" s="5" t="s">
        <v>10</v>
      </c>
      <c r="D376" s="5" t="s">
        <v>30</v>
      </c>
      <c r="E376" s="7" t="s">
        <v>10</v>
      </c>
      <c r="F376" s="5" t="s">
        <v>106</v>
      </c>
      <c r="G376" s="5" t="s">
        <v>107</v>
      </c>
      <c r="H376" s="5" t="s">
        <v>26</v>
      </c>
      <c r="I376" s="5" t="s">
        <v>27</v>
      </c>
      <c r="J376" s="1" t="str">
        <f>HYPERLINK("http://www.medicalcreditfund.org","www.medicalcreditfund.org")</f>
        <v>www.medicalcreditfund.org</v>
      </c>
    </row>
    <row r="377" spans="2:10" x14ac:dyDescent="0.2">
      <c r="B377" s="3" t="s">
        <v>903</v>
      </c>
      <c r="C377" s="3" t="s">
        <v>904</v>
      </c>
      <c r="D377" s="3" t="s">
        <v>97</v>
      </c>
      <c r="E377" s="4">
        <v>14</v>
      </c>
      <c r="F377" s="3" t="s">
        <v>905</v>
      </c>
      <c r="G377" s="3" t="s">
        <v>884</v>
      </c>
      <c r="H377" s="3" t="s">
        <v>49</v>
      </c>
      <c r="I377" s="3" t="s">
        <v>50</v>
      </c>
      <c r="J377" s="6" t="str">
        <f>HYPERLINK("http://www.med-cf.com","www.med-cf.com")</f>
        <v>www.med-cf.com</v>
      </c>
    </row>
    <row r="378" spans="2:10" x14ac:dyDescent="0.2">
      <c r="B378" s="5" t="s">
        <v>906</v>
      </c>
      <c r="C378" s="5" t="s">
        <v>907</v>
      </c>
      <c r="D378" s="5" t="s">
        <v>12</v>
      </c>
      <c r="E378" s="7">
        <v>38</v>
      </c>
      <c r="F378" s="5" t="s">
        <v>351</v>
      </c>
      <c r="G378" s="5" t="s">
        <v>84</v>
      </c>
      <c r="H378" s="5" t="s">
        <v>49</v>
      </c>
      <c r="I378" s="5" t="s">
        <v>85</v>
      </c>
      <c r="J378" s="1" t="str">
        <f>HYPERLINK("http://www.merchantec.com","www.merchantec.com")</f>
        <v>www.merchantec.com</v>
      </c>
    </row>
    <row r="379" spans="2:10" x14ac:dyDescent="0.2">
      <c r="B379" s="3" t="s">
        <v>908</v>
      </c>
      <c r="C379" s="3" t="s">
        <v>909</v>
      </c>
      <c r="D379" s="3" t="s">
        <v>12</v>
      </c>
      <c r="E379" s="4">
        <v>34625</v>
      </c>
      <c r="F379" s="3" t="s">
        <v>13</v>
      </c>
      <c r="G379" s="3" t="s">
        <v>14</v>
      </c>
      <c r="H379" s="3" t="s">
        <v>15</v>
      </c>
      <c r="I379" s="3" t="s">
        <v>16</v>
      </c>
      <c r="J379" s="6" t="str">
        <f>HYPERLINK("http://www.ml.com","www.ml.com")</f>
        <v>www.ml.com</v>
      </c>
    </row>
    <row r="380" spans="2:10" x14ac:dyDescent="0.2">
      <c r="B380" s="5" t="s">
        <v>910</v>
      </c>
      <c r="C380" s="5" t="s">
        <v>911</v>
      </c>
      <c r="D380" s="5" t="s">
        <v>23</v>
      </c>
      <c r="E380" s="7">
        <v>20</v>
      </c>
      <c r="F380" s="5" t="s">
        <v>912</v>
      </c>
      <c r="G380" s="5" t="s">
        <v>913</v>
      </c>
      <c r="H380" s="5" t="s">
        <v>49</v>
      </c>
      <c r="I380" s="5" t="s">
        <v>78</v>
      </c>
      <c r="J380" s="1" t="str">
        <f>HYPERLINK("http://www.mtalawoffice.com","www.mtalawoffice.com")</f>
        <v>www.mtalawoffice.com</v>
      </c>
    </row>
    <row r="381" spans="2:10" x14ac:dyDescent="0.2">
      <c r="B381" s="3" t="s">
        <v>914</v>
      </c>
      <c r="C381" s="3" t="s">
        <v>10</v>
      </c>
      <c r="D381" s="3" t="s">
        <v>44</v>
      </c>
      <c r="E381" s="4" t="s">
        <v>10</v>
      </c>
      <c r="F381" s="3" t="s">
        <v>10</v>
      </c>
      <c r="G381" s="3" t="s">
        <v>10</v>
      </c>
      <c r="H381" s="3" t="s">
        <v>10</v>
      </c>
      <c r="I381" s="3" t="s">
        <v>10</v>
      </c>
      <c r="J381" s="3" t="s">
        <v>10</v>
      </c>
    </row>
    <row r="382" spans="2:10" x14ac:dyDescent="0.2">
      <c r="B382" s="5" t="s">
        <v>915</v>
      </c>
      <c r="C382" s="5" t="s">
        <v>916</v>
      </c>
      <c r="D382" s="5" t="s">
        <v>23</v>
      </c>
      <c r="E382" s="7">
        <v>35</v>
      </c>
      <c r="F382" s="5" t="s">
        <v>905</v>
      </c>
      <c r="G382" s="5" t="s">
        <v>884</v>
      </c>
      <c r="H382" s="5" t="s">
        <v>49</v>
      </c>
      <c r="I382" s="5" t="s">
        <v>50</v>
      </c>
      <c r="J382" s="1" t="str">
        <f>HYPERLINK("http://www.meziouknani.com","www.meziouknani.com")</f>
        <v>www.meziouknani.com</v>
      </c>
    </row>
    <row r="383" spans="2:10" x14ac:dyDescent="0.2">
      <c r="B383" s="3" t="s">
        <v>917</v>
      </c>
      <c r="C383" s="3" t="s">
        <v>918</v>
      </c>
      <c r="D383" s="3" t="s">
        <v>23</v>
      </c>
      <c r="E383" s="4">
        <v>532</v>
      </c>
      <c r="F383" s="3" t="s">
        <v>919</v>
      </c>
      <c r="G383" s="3" t="s">
        <v>25</v>
      </c>
      <c r="H383" s="3" t="s">
        <v>26</v>
      </c>
      <c r="I383" s="3" t="s">
        <v>27</v>
      </c>
      <c r="J383" s="6" t="str">
        <f>HYPERLINK("http://www.michelmores.com","www.michelmores.com")</f>
        <v>www.michelmores.com</v>
      </c>
    </row>
    <row r="384" spans="2:10" x14ac:dyDescent="0.2">
      <c r="B384" s="5" t="s">
        <v>920</v>
      </c>
      <c r="C384" s="5" t="s">
        <v>10</v>
      </c>
      <c r="D384" s="5" t="s">
        <v>134</v>
      </c>
      <c r="E384" s="7" t="s">
        <v>10</v>
      </c>
      <c r="F384" s="5" t="s">
        <v>13</v>
      </c>
      <c r="G384" s="5" t="s">
        <v>14</v>
      </c>
      <c r="H384" s="5" t="s">
        <v>15</v>
      </c>
      <c r="I384" s="5" t="s">
        <v>16</v>
      </c>
      <c r="J384" s="1" t="str">
        <f>HYPERLINK("http://www.milostglobal.com","www.milostglobal.com")</f>
        <v>www.milostglobal.com</v>
      </c>
    </row>
    <row r="385" spans="2:10" x14ac:dyDescent="0.2">
      <c r="B385" s="3" t="s">
        <v>921</v>
      </c>
      <c r="C385" s="3" t="s">
        <v>922</v>
      </c>
      <c r="D385" s="3" t="s">
        <v>97</v>
      </c>
      <c r="E385" s="4" t="s">
        <v>10</v>
      </c>
      <c r="F385" s="3" t="s">
        <v>234</v>
      </c>
      <c r="G385" s="3" t="s">
        <v>235</v>
      </c>
      <c r="H385" s="3" t="s">
        <v>236</v>
      </c>
      <c r="I385" s="3" t="s">
        <v>237</v>
      </c>
      <c r="J385" s="6" t="str">
        <f>HYPERLINK("http://www.hd.sc.mufg.jp","www.hd.sc.mufg.jp")</f>
        <v>www.hd.sc.mufg.jp</v>
      </c>
    </row>
    <row r="386" spans="2:10" x14ac:dyDescent="0.2">
      <c r="B386" s="5" t="s">
        <v>923</v>
      </c>
      <c r="C386" s="5" t="s">
        <v>924</v>
      </c>
      <c r="D386" s="5" t="s">
        <v>97</v>
      </c>
      <c r="E386" s="7">
        <v>77</v>
      </c>
      <c r="F386" s="5" t="s">
        <v>234</v>
      </c>
      <c r="G386" s="5" t="s">
        <v>235</v>
      </c>
      <c r="H386" s="5" t="s">
        <v>236</v>
      </c>
      <c r="I386" s="5" t="s">
        <v>237</v>
      </c>
      <c r="J386" s="1" t="str">
        <f>HYPERLINK("http://www.tr.mufg.jp","www.tr.mufg.jp")</f>
        <v>www.tr.mufg.jp</v>
      </c>
    </row>
    <row r="387" spans="2:10" x14ac:dyDescent="0.2">
      <c r="B387" s="3" t="s">
        <v>925</v>
      </c>
      <c r="C387" s="3" t="s">
        <v>926</v>
      </c>
      <c r="D387" s="3" t="s">
        <v>12</v>
      </c>
      <c r="E387" s="4" t="s">
        <v>10</v>
      </c>
      <c r="F387" s="3" t="s">
        <v>13</v>
      </c>
      <c r="G387" s="3" t="s">
        <v>14</v>
      </c>
      <c r="H387" s="3" t="s">
        <v>15</v>
      </c>
      <c r="I387" s="3" t="s">
        <v>16</v>
      </c>
      <c r="J387" s="6" t="str">
        <f>HYPERLINK("http://mizuhoamericas.com","mizuhoamericas.com")</f>
        <v>mizuhoamericas.com</v>
      </c>
    </row>
    <row r="388" spans="2:10" x14ac:dyDescent="0.2">
      <c r="B388" s="5" t="s">
        <v>927</v>
      </c>
      <c r="C388" s="5" t="s">
        <v>928</v>
      </c>
      <c r="D388" s="5" t="s">
        <v>12</v>
      </c>
      <c r="E388" s="7" t="s">
        <v>10</v>
      </c>
      <c r="F388" s="5" t="s">
        <v>234</v>
      </c>
      <c r="G388" s="5" t="s">
        <v>235</v>
      </c>
      <c r="H388" s="5" t="s">
        <v>236</v>
      </c>
      <c r="I388" s="5" t="s">
        <v>237</v>
      </c>
      <c r="J388" s="1" t="str">
        <f>HYPERLINK("http://www.mizuho-sc.com","www.mizuho-sc.com")</f>
        <v>www.mizuho-sc.com</v>
      </c>
    </row>
    <row r="389" spans="2:10" x14ac:dyDescent="0.2">
      <c r="B389" s="3" t="s">
        <v>929</v>
      </c>
      <c r="C389" s="3" t="s">
        <v>930</v>
      </c>
      <c r="D389" s="3" t="s">
        <v>23</v>
      </c>
      <c r="E389" s="4" t="s">
        <v>10</v>
      </c>
      <c r="F389" s="3" t="s">
        <v>90</v>
      </c>
      <c r="G389" s="3" t="s">
        <v>84</v>
      </c>
      <c r="H389" s="3" t="s">
        <v>49</v>
      </c>
      <c r="I389" s="3" t="s">
        <v>85</v>
      </c>
      <c r="J389" s="6" t="str">
        <f>HYPERLINK("http://www.mhalaw.co.za","www.mhalaw.co.za")</f>
        <v>www.mhalaw.co.za</v>
      </c>
    </row>
    <row r="390" spans="2:10" x14ac:dyDescent="0.2">
      <c r="B390" s="5" t="s">
        <v>931</v>
      </c>
      <c r="C390" s="5" t="s">
        <v>932</v>
      </c>
      <c r="D390" s="5" t="s">
        <v>23</v>
      </c>
      <c r="E390" s="7">
        <v>66</v>
      </c>
      <c r="F390" s="5" t="s">
        <v>160</v>
      </c>
      <c r="G390" s="5" t="s">
        <v>161</v>
      </c>
      <c r="H390" s="5" t="s">
        <v>49</v>
      </c>
      <c r="I390" s="5" t="s">
        <v>78</v>
      </c>
      <c r="J390" s="1" t="str">
        <f>HYPERLINK("http://www.mmaks.co.ug","www.mmaks.co.ug")</f>
        <v>www.mmaks.co.ug</v>
      </c>
    </row>
    <row r="391" spans="2:10" x14ac:dyDescent="0.2">
      <c r="B391" s="3" t="s">
        <v>933</v>
      </c>
      <c r="C391" s="3" t="s">
        <v>934</v>
      </c>
      <c r="D391" s="3" t="s">
        <v>97</v>
      </c>
      <c r="E391" s="4" t="s">
        <v>10</v>
      </c>
      <c r="F391" s="3" t="s">
        <v>24</v>
      </c>
      <c r="G391" s="3" t="s">
        <v>25</v>
      </c>
      <c r="H391" s="3" t="s">
        <v>26</v>
      </c>
      <c r="I391" s="3" t="s">
        <v>27</v>
      </c>
      <c r="J391" s="6" t="str">
        <f>HYPERLINK("http://www.moorecf.com","www.moorecf.com")</f>
        <v>www.moorecf.com</v>
      </c>
    </row>
    <row r="392" spans="2:10" x14ac:dyDescent="0.2">
      <c r="B392" s="5" t="s">
        <v>935</v>
      </c>
      <c r="C392" s="5" t="s">
        <v>936</v>
      </c>
      <c r="D392" s="5" t="s">
        <v>30</v>
      </c>
      <c r="E392" s="7" t="s">
        <v>10</v>
      </c>
      <c r="F392" s="5" t="s">
        <v>13</v>
      </c>
      <c r="G392" s="5" t="s">
        <v>14</v>
      </c>
      <c r="H392" s="5" t="s">
        <v>15</v>
      </c>
      <c r="I392" s="5" t="s">
        <v>16</v>
      </c>
      <c r="J392" s="5" t="s">
        <v>10</v>
      </c>
    </row>
    <row r="393" spans="2:10" x14ac:dyDescent="0.2">
      <c r="B393" s="3" t="s">
        <v>937</v>
      </c>
      <c r="C393" s="3" t="s">
        <v>938</v>
      </c>
      <c r="D393" s="3" t="s">
        <v>12</v>
      </c>
      <c r="E393" s="4" t="s">
        <v>10</v>
      </c>
      <c r="F393" s="3" t="s">
        <v>517</v>
      </c>
      <c r="G393" s="3" t="s">
        <v>275</v>
      </c>
      <c r="H393" s="3" t="s">
        <v>223</v>
      </c>
      <c r="I393" s="3" t="s">
        <v>223</v>
      </c>
      <c r="J393" s="6" t="str">
        <f>HYPERLINK("http://www.multiplesgroup.com","www.multiplesgroup.com")</f>
        <v>www.multiplesgroup.com</v>
      </c>
    </row>
    <row r="394" spans="2:10" x14ac:dyDescent="0.2">
      <c r="B394" s="5" t="s">
        <v>939</v>
      </c>
      <c r="C394" s="5" t="s">
        <v>940</v>
      </c>
      <c r="D394" s="5" t="s">
        <v>44</v>
      </c>
      <c r="E394" s="7" t="s">
        <v>10</v>
      </c>
      <c r="F394" s="5" t="s">
        <v>941</v>
      </c>
      <c r="G394" s="5" t="s">
        <v>25</v>
      </c>
      <c r="H394" s="5" t="s">
        <v>26</v>
      </c>
      <c r="I394" s="5" t="s">
        <v>27</v>
      </c>
      <c r="J394" s="1" t="str">
        <f>HYPERLINK("http://www.murphysalisbury.com","www.murphysalisbury.com")</f>
        <v>www.murphysalisbury.com</v>
      </c>
    </row>
    <row r="395" spans="2:10" x14ac:dyDescent="0.2">
      <c r="B395" s="3" t="s">
        <v>942</v>
      </c>
      <c r="C395" s="3" t="s">
        <v>943</v>
      </c>
      <c r="D395" s="3" t="s">
        <v>30</v>
      </c>
      <c r="E395" s="4">
        <v>343</v>
      </c>
      <c r="F395" s="3" t="s">
        <v>13</v>
      </c>
      <c r="G395" s="3" t="s">
        <v>14</v>
      </c>
      <c r="H395" s="3" t="s">
        <v>15</v>
      </c>
      <c r="I395" s="3" t="s">
        <v>16</v>
      </c>
      <c r="J395" s="6" t="str">
        <f>HYPERLINK("http://www.newmountaincapital.com","www.newmountaincapital.com")</f>
        <v>www.newmountaincapital.com</v>
      </c>
    </row>
    <row r="396" spans="2:10" x14ac:dyDescent="0.2">
      <c r="B396" s="5" t="s">
        <v>944</v>
      </c>
      <c r="C396" s="5" t="s">
        <v>945</v>
      </c>
      <c r="D396" s="5" t="s">
        <v>44</v>
      </c>
      <c r="E396" s="7">
        <v>600</v>
      </c>
      <c r="F396" s="5" t="s">
        <v>946</v>
      </c>
      <c r="G396" s="5" t="s">
        <v>84</v>
      </c>
      <c r="H396" s="5" t="s">
        <v>49</v>
      </c>
      <c r="I396" s="5" t="s">
        <v>85</v>
      </c>
      <c r="J396" s="1" t="str">
        <f>HYPERLINK("http://www.nexia-sabt.co.za","www.nexia-sabt.co.za")</f>
        <v>www.nexia-sabt.co.za</v>
      </c>
    </row>
    <row r="397" spans="2:10" x14ac:dyDescent="0.2">
      <c r="B397" s="3" t="s">
        <v>947</v>
      </c>
      <c r="C397" s="3" t="s">
        <v>948</v>
      </c>
      <c r="D397" s="3" t="s">
        <v>30</v>
      </c>
      <c r="E397" s="4">
        <v>182</v>
      </c>
      <c r="F397" s="3" t="s">
        <v>949</v>
      </c>
      <c r="G397" s="3" t="s">
        <v>950</v>
      </c>
      <c r="H397" s="3" t="s">
        <v>26</v>
      </c>
      <c r="I397" s="3" t="s">
        <v>181</v>
      </c>
      <c r="J397" s="6" t="str">
        <f>HYPERLINK("http://www.norfund.no","www.norfund.no")</f>
        <v>www.norfund.no</v>
      </c>
    </row>
    <row r="398" spans="2:10" x14ac:dyDescent="0.2">
      <c r="B398" s="5" t="s">
        <v>951</v>
      </c>
      <c r="C398" s="5" t="s">
        <v>952</v>
      </c>
      <c r="D398" s="5" t="s">
        <v>30</v>
      </c>
      <c r="E398" s="7">
        <v>40</v>
      </c>
      <c r="F398" s="5" t="s">
        <v>953</v>
      </c>
      <c r="G398" s="5" t="s">
        <v>954</v>
      </c>
      <c r="H398" s="5" t="s">
        <v>49</v>
      </c>
      <c r="I398" s="5" t="s">
        <v>85</v>
      </c>
      <c r="J398" s="1" t="str">
        <f>HYPERLINK("http://www.norsadcapital.com","www.norsadcapital.com")</f>
        <v>www.norsadcapital.com</v>
      </c>
    </row>
    <row r="399" spans="2:10" x14ac:dyDescent="0.2">
      <c r="B399" s="3" t="s">
        <v>955</v>
      </c>
      <c r="C399" s="3" t="s">
        <v>956</v>
      </c>
      <c r="D399" s="3" t="s">
        <v>12</v>
      </c>
      <c r="E399" s="4" t="s">
        <v>10</v>
      </c>
      <c r="F399" s="3" t="s">
        <v>13</v>
      </c>
      <c r="G399" s="3" t="s">
        <v>14</v>
      </c>
      <c r="H399" s="3" t="s">
        <v>15</v>
      </c>
      <c r="I399" s="3" t="s">
        <v>16</v>
      </c>
      <c r="J399" s="6" t="str">
        <f>HYPERLINK("http://www.oaklins.co","www.oaklins.co")</f>
        <v>www.oaklins.co</v>
      </c>
    </row>
    <row r="400" spans="2:10" x14ac:dyDescent="0.2">
      <c r="B400" s="5" t="s">
        <v>957</v>
      </c>
      <c r="C400" s="5" t="s">
        <v>958</v>
      </c>
      <c r="D400" s="5" t="s">
        <v>97</v>
      </c>
      <c r="E400" s="7">
        <v>31</v>
      </c>
      <c r="F400" s="5" t="s">
        <v>93</v>
      </c>
      <c r="G400" s="5" t="s">
        <v>94</v>
      </c>
      <c r="H400" s="5" t="s">
        <v>26</v>
      </c>
      <c r="I400" s="5" t="s">
        <v>27</v>
      </c>
      <c r="J400" s="5" t="s">
        <v>10</v>
      </c>
    </row>
    <row r="401" spans="2:10" x14ac:dyDescent="0.2">
      <c r="B401" s="3" t="s">
        <v>959</v>
      </c>
      <c r="C401" s="3" t="s">
        <v>960</v>
      </c>
      <c r="D401" s="3" t="s">
        <v>36</v>
      </c>
      <c r="E401" s="4">
        <v>1542</v>
      </c>
      <c r="F401" s="3" t="s">
        <v>522</v>
      </c>
      <c r="G401" s="3" t="s">
        <v>25</v>
      </c>
      <c r="H401" s="3" t="s">
        <v>26</v>
      </c>
      <c r="I401" s="3" t="s">
        <v>27</v>
      </c>
      <c r="J401" s="6" t="str">
        <f>HYPERLINK("http://www.ocorian.com","www.ocorian.com")</f>
        <v>www.ocorian.com</v>
      </c>
    </row>
    <row r="402" spans="2:10" x14ac:dyDescent="0.2">
      <c r="B402" s="5" t="s">
        <v>961</v>
      </c>
      <c r="C402" s="5" t="s">
        <v>962</v>
      </c>
      <c r="D402" s="5" t="s">
        <v>23</v>
      </c>
      <c r="E402" s="7">
        <v>240</v>
      </c>
      <c r="F402" s="5" t="s">
        <v>98</v>
      </c>
      <c r="G402" s="5" t="s">
        <v>99</v>
      </c>
      <c r="H402" s="5" t="s">
        <v>49</v>
      </c>
      <c r="I402" s="5" t="s">
        <v>58</v>
      </c>
      <c r="J402" s="1" t="str">
        <f>HYPERLINK("http://www.olaniwunajayi.net","www.olaniwunajayi.net")</f>
        <v>www.olaniwunajayi.net</v>
      </c>
    </row>
    <row r="403" spans="2:10" x14ac:dyDescent="0.2">
      <c r="B403" s="3" t="s">
        <v>963</v>
      </c>
      <c r="C403" s="3" t="s">
        <v>10</v>
      </c>
      <c r="D403" s="3" t="s">
        <v>12</v>
      </c>
      <c r="E403" s="4" t="s">
        <v>10</v>
      </c>
      <c r="F403" s="3" t="s">
        <v>964</v>
      </c>
      <c r="G403" s="3" t="s">
        <v>14</v>
      </c>
      <c r="H403" s="3" t="s">
        <v>15</v>
      </c>
      <c r="I403" s="3" t="s">
        <v>16</v>
      </c>
      <c r="J403" s="3" t="s">
        <v>10</v>
      </c>
    </row>
    <row r="404" spans="2:10" x14ac:dyDescent="0.2">
      <c r="B404" s="5" t="s">
        <v>965</v>
      </c>
      <c r="C404" s="5" t="s">
        <v>966</v>
      </c>
      <c r="D404" s="5" t="s">
        <v>134</v>
      </c>
      <c r="E404" s="7">
        <v>12</v>
      </c>
      <c r="F404" s="5" t="s">
        <v>967</v>
      </c>
      <c r="G404" s="5" t="s">
        <v>551</v>
      </c>
      <c r="H404" s="5" t="s">
        <v>552</v>
      </c>
      <c r="I404" s="5" t="s">
        <v>552</v>
      </c>
      <c r="J404" s="1" t="str">
        <f>HYPERLINK("http://www.onmarket.com.au","www.onmarket.com.au")</f>
        <v>www.onmarket.com.au</v>
      </c>
    </row>
    <row r="405" spans="2:10" x14ac:dyDescent="0.2">
      <c r="B405" s="3" t="s">
        <v>968</v>
      </c>
      <c r="C405" s="3" t="s">
        <v>969</v>
      </c>
      <c r="D405" s="3" t="s">
        <v>12</v>
      </c>
      <c r="E405" s="4">
        <v>449</v>
      </c>
      <c r="F405" s="3" t="s">
        <v>949</v>
      </c>
      <c r="G405" s="3" t="s">
        <v>950</v>
      </c>
      <c r="H405" s="3" t="s">
        <v>26</v>
      </c>
      <c r="I405" s="3" t="s">
        <v>181</v>
      </c>
      <c r="J405" s="6" t="str">
        <f>HYPERLINK("http://www.paretosec.com","www.paretosec.com")</f>
        <v>www.paretosec.com</v>
      </c>
    </row>
    <row r="406" spans="2:10" x14ac:dyDescent="0.2">
      <c r="B406" s="5" t="s">
        <v>970</v>
      </c>
      <c r="C406" s="5" t="s">
        <v>971</v>
      </c>
      <c r="D406" s="5" t="s">
        <v>30</v>
      </c>
      <c r="E406" s="7">
        <v>6</v>
      </c>
      <c r="F406" s="5" t="s">
        <v>972</v>
      </c>
      <c r="G406" s="5" t="s">
        <v>14</v>
      </c>
      <c r="H406" s="5" t="s">
        <v>15</v>
      </c>
      <c r="I406" s="5" t="s">
        <v>16</v>
      </c>
      <c r="J406" s="1" t="str">
        <f>HYPERLINK("http://www.pdl.com","www.pdl.com")</f>
        <v>www.pdl.com</v>
      </c>
    </row>
    <row r="407" spans="2:10" x14ac:dyDescent="0.2">
      <c r="B407" s="3" t="s">
        <v>973</v>
      </c>
      <c r="C407" s="3" t="s">
        <v>974</v>
      </c>
      <c r="D407" s="3" t="s">
        <v>12</v>
      </c>
      <c r="E407" s="4">
        <v>38</v>
      </c>
      <c r="F407" s="3" t="s">
        <v>975</v>
      </c>
      <c r="G407" s="3" t="s">
        <v>976</v>
      </c>
      <c r="H407" s="3" t="s">
        <v>26</v>
      </c>
      <c r="I407" s="3" t="s">
        <v>155</v>
      </c>
      <c r="J407" s="6" t="str">
        <f>HYPERLINK("http://www.pekaoib.pl","www.pekaoib.pl")</f>
        <v>www.pekaoib.pl</v>
      </c>
    </row>
    <row r="408" spans="2:10" x14ac:dyDescent="0.2">
      <c r="B408" s="5" t="s">
        <v>977</v>
      </c>
      <c r="C408" s="5" t="s">
        <v>978</v>
      </c>
      <c r="D408" s="5" t="s">
        <v>338</v>
      </c>
      <c r="E408" s="7">
        <v>11</v>
      </c>
      <c r="F408" s="5" t="s">
        <v>583</v>
      </c>
      <c r="G408" s="5" t="s">
        <v>584</v>
      </c>
      <c r="H408" s="5" t="s">
        <v>49</v>
      </c>
      <c r="I408" s="5" t="s">
        <v>78</v>
      </c>
      <c r="J408" s="1" t="str">
        <f>HYPERLINK("http://www.perigeumcapital.com","www.perigeumcapital.com")</f>
        <v>www.perigeumcapital.com</v>
      </c>
    </row>
    <row r="409" spans="2:10" x14ac:dyDescent="0.2">
      <c r="B409" s="3" t="s">
        <v>979</v>
      </c>
      <c r="C409" s="3" t="s">
        <v>980</v>
      </c>
      <c r="D409" s="3" t="s">
        <v>30</v>
      </c>
      <c r="E409" s="4">
        <v>14</v>
      </c>
      <c r="F409" s="3" t="s">
        <v>13</v>
      </c>
      <c r="G409" s="3" t="s">
        <v>14</v>
      </c>
      <c r="H409" s="3" t="s">
        <v>15</v>
      </c>
      <c r="I409" s="3" t="s">
        <v>16</v>
      </c>
      <c r="J409" s="3" t="s">
        <v>10</v>
      </c>
    </row>
    <row r="410" spans="2:10" x14ac:dyDescent="0.2">
      <c r="B410" s="5" t="s">
        <v>981</v>
      </c>
      <c r="C410" s="5" t="s">
        <v>10</v>
      </c>
      <c r="D410" s="5" t="s">
        <v>134</v>
      </c>
      <c r="E410" s="7" t="s">
        <v>10</v>
      </c>
      <c r="F410" s="5" t="s">
        <v>982</v>
      </c>
      <c r="G410" s="5" t="s">
        <v>14</v>
      </c>
      <c r="H410" s="5" t="s">
        <v>15</v>
      </c>
      <c r="I410" s="5" t="s">
        <v>16</v>
      </c>
      <c r="J410" s="1" t="str">
        <f>HYPERLINK("http://www.picmiicrowdfunding.com","www.picmiicrowdfunding.com")</f>
        <v>www.picmiicrowdfunding.com</v>
      </c>
    </row>
    <row r="411" spans="2:10" x14ac:dyDescent="0.2">
      <c r="B411" s="3" t="s">
        <v>983</v>
      </c>
      <c r="C411" s="3" t="s">
        <v>984</v>
      </c>
      <c r="D411" s="3" t="s">
        <v>23</v>
      </c>
      <c r="E411" s="4">
        <v>4302</v>
      </c>
      <c r="F411" s="3" t="s">
        <v>24</v>
      </c>
      <c r="G411" s="3" t="s">
        <v>25</v>
      </c>
      <c r="H411" s="3" t="s">
        <v>26</v>
      </c>
      <c r="I411" s="3" t="s">
        <v>27</v>
      </c>
      <c r="J411" s="6" t="str">
        <f>HYPERLINK("http://www.pinsentmasons.com","www.pinsentmasons.com")</f>
        <v>www.pinsentmasons.com</v>
      </c>
    </row>
    <row r="412" spans="2:10" x14ac:dyDescent="0.2">
      <c r="B412" s="5" t="s">
        <v>985</v>
      </c>
      <c r="C412" s="5" t="s">
        <v>986</v>
      </c>
      <c r="D412" s="5" t="s">
        <v>12</v>
      </c>
      <c r="E412" s="7">
        <v>1748</v>
      </c>
      <c r="F412" s="5" t="s">
        <v>244</v>
      </c>
      <c r="G412" s="5" t="s">
        <v>14</v>
      </c>
      <c r="H412" s="5" t="s">
        <v>15</v>
      </c>
      <c r="I412" s="5" t="s">
        <v>16</v>
      </c>
      <c r="J412" s="1" t="str">
        <f>HYPERLINK("http://www.pipersandler.com","www.pipersandler.com")</f>
        <v>www.pipersandler.com</v>
      </c>
    </row>
    <row r="413" spans="2:10" x14ac:dyDescent="0.2">
      <c r="B413" s="3" t="s">
        <v>987</v>
      </c>
      <c r="C413" s="3" t="s">
        <v>988</v>
      </c>
      <c r="D413" s="3" t="s">
        <v>23</v>
      </c>
      <c r="E413" s="4">
        <v>5</v>
      </c>
      <c r="F413" s="3" t="s">
        <v>989</v>
      </c>
      <c r="G413" s="3" t="s">
        <v>584</v>
      </c>
      <c r="H413" s="3" t="s">
        <v>49</v>
      </c>
      <c r="I413" s="3" t="s">
        <v>78</v>
      </c>
      <c r="J413" s="6" t="str">
        <f>HYPERLINK("http://www.plcj.net","www.plcj.net")</f>
        <v>www.plcj.net</v>
      </c>
    </row>
    <row r="414" spans="2:10" x14ac:dyDescent="0.2">
      <c r="B414" s="5" t="s">
        <v>990</v>
      </c>
      <c r="C414" s="5" t="s">
        <v>991</v>
      </c>
      <c r="D414" s="5" t="s">
        <v>12</v>
      </c>
      <c r="E414" s="7">
        <v>59</v>
      </c>
      <c r="F414" s="5" t="s">
        <v>122</v>
      </c>
      <c r="G414" s="5" t="s">
        <v>14</v>
      </c>
      <c r="H414" s="5" t="s">
        <v>15</v>
      </c>
      <c r="I414" s="5" t="s">
        <v>16</v>
      </c>
      <c r="J414" s="1" t="str">
        <f>HYPERLINK("http://www.pmcf.com","www.pmcf.com")</f>
        <v>www.pmcf.com</v>
      </c>
    </row>
    <row r="415" spans="2:10" x14ac:dyDescent="0.2">
      <c r="B415" s="3" t="s">
        <v>992</v>
      </c>
      <c r="C415" s="3" t="s">
        <v>993</v>
      </c>
      <c r="D415" s="3" t="s">
        <v>23</v>
      </c>
      <c r="E415" s="4">
        <v>2000</v>
      </c>
      <c r="F415" s="3" t="s">
        <v>994</v>
      </c>
      <c r="G415" s="3" t="s">
        <v>14</v>
      </c>
      <c r="H415" s="3" t="s">
        <v>15</v>
      </c>
      <c r="I415" s="3" t="s">
        <v>16</v>
      </c>
      <c r="J415" s="6" t="str">
        <f>HYPERLINK("http://www.polsinelli.com","www.polsinelli.com")</f>
        <v>www.polsinelli.com</v>
      </c>
    </row>
    <row r="416" spans="2:10" x14ac:dyDescent="0.2">
      <c r="B416" s="5" t="s">
        <v>995</v>
      </c>
      <c r="C416" s="5" t="s">
        <v>996</v>
      </c>
      <c r="D416" s="5" t="s">
        <v>331</v>
      </c>
      <c r="E416" s="7" t="s">
        <v>10</v>
      </c>
      <c r="F416" s="5" t="s">
        <v>997</v>
      </c>
      <c r="G416" s="5" t="s">
        <v>84</v>
      </c>
      <c r="H416" s="5" t="s">
        <v>49</v>
      </c>
      <c r="I416" s="5" t="s">
        <v>85</v>
      </c>
      <c r="J416" s="1" t="str">
        <f>HYPERLINK("http://www.portbridgecapital.co.za","www.portbridgecapital.co.za")</f>
        <v>www.portbridgecapital.co.za</v>
      </c>
    </row>
    <row r="417" spans="2:10" x14ac:dyDescent="0.2">
      <c r="B417" s="3" t="s">
        <v>998</v>
      </c>
      <c r="C417" s="3" t="s">
        <v>10</v>
      </c>
      <c r="D417" s="3" t="s">
        <v>97</v>
      </c>
      <c r="E417" s="4" t="s">
        <v>10</v>
      </c>
      <c r="F417" s="3" t="s">
        <v>999</v>
      </c>
      <c r="G417" s="3" t="s">
        <v>1000</v>
      </c>
      <c r="H417" s="3" t="s">
        <v>49</v>
      </c>
      <c r="I417" s="3" t="s">
        <v>78</v>
      </c>
      <c r="J417" s="3" t="s">
        <v>10</v>
      </c>
    </row>
    <row r="418" spans="2:10" x14ac:dyDescent="0.2">
      <c r="B418" s="5" t="s">
        <v>1001</v>
      </c>
      <c r="C418" s="5" t="s">
        <v>1002</v>
      </c>
      <c r="D418" s="5" t="s">
        <v>97</v>
      </c>
      <c r="E418" s="7">
        <v>8</v>
      </c>
      <c r="F418" s="5" t="s">
        <v>90</v>
      </c>
      <c r="G418" s="5" t="s">
        <v>84</v>
      </c>
      <c r="H418" s="5" t="s">
        <v>49</v>
      </c>
      <c r="I418" s="5" t="s">
        <v>85</v>
      </c>
      <c r="J418" s="1" t="str">
        <f>HYPERLINK("http://www.pbcapital.co.za","www.pbcapital.co.za")</f>
        <v>www.pbcapital.co.za</v>
      </c>
    </row>
    <row r="419" spans="2:10" x14ac:dyDescent="0.2">
      <c r="B419" s="3" t="s">
        <v>1003</v>
      </c>
      <c r="C419" s="3" t="s">
        <v>1004</v>
      </c>
      <c r="D419" s="3" t="s">
        <v>97</v>
      </c>
      <c r="E419" s="4" t="s">
        <v>10</v>
      </c>
      <c r="F419" s="3" t="s">
        <v>90</v>
      </c>
      <c r="G419" s="3" t="s">
        <v>84</v>
      </c>
      <c r="H419" s="3" t="s">
        <v>49</v>
      </c>
      <c r="I419" s="3" t="s">
        <v>85</v>
      </c>
      <c r="J419" s="6" t="str">
        <f>HYPERLINK("http://www.p-t-a.co.za","www.p-t-a.co.za")</f>
        <v>www.p-t-a.co.za</v>
      </c>
    </row>
    <row r="420" spans="2:10" x14ac:dyDescent="0.2">
      <c r="B420" s="5" t="s">
        <v>1005</v>
      </c>
      <c r="C420" s="5" t="s">
        <v>1006</v>
      </c>
      <c r="D420" s="5" t="s">
        <v>23</v>
      </c>
      <c r="E420" s="7">
        <v>4</v>
      </c>
      <c r="F420" s="5" t="s">
        <v>1007</v>
      </c>
      <c r="G420" s="5" t="s">
        <v>14</v>
      </c>
      <c r="H420" s="5" t="s">
        <v>15</v>
      </c>
      <c r="I420" s="5" t="s">
        <v>16</v>
      </c>
      <c r="J420" s="1" t="str">
        <f>HYPERLINK("http://www.pryan.net","www.pryan.net")</f>
        <v>www.pryan.net</v>
      </c>
    </row>
    <row r="421" spans="2:10" x14ac:dyDescent="0.2">
      <c r="B421" s="3" t="s">
        <v>1008</v>
      </c>
      <c r="C421" s="3" t="s">
        <v>1009</v>
      </c>
      <c r="D421" s="3" t="s">
        <v>44</v>
      </c>
      <c r="E421" s="4" t="s">
        <v>10</v>
      </c>
      <c r="F421" s="3" t="s">
        <v>1010</v>
      </c>
      <c r="G421" s="3" t="s">
        <v>662</v>
      </c>
      <c r="H421" s="3" t="s">
        <v>236</v>
      </c>
      <c r="I421" s="3" t="s">
        <v>237</v>
      </c>
      <c r="J421" s="6" t="str">
        <f>HYPERLINK("http://www.pwchk.com","www.pwchk.com")</f>
        <v>www.pwchk.com</v>
      </c>
    </row>
    <row r="422" spans="2:10" x14ac:dyDescent="0.2">
      <c r="B422" s="5" t="s">
        <v>1011</v>
      </c>
      <c r="C422" s="5" t="s">
        <v>1012</v>
      </c>
      <c r="D422" s="5" t="s">
        <v>12</v>
      </c>
      <c r="E422" s="7">
        <v>18</v>
      </c>
      <c r="F422" s="5" t="s">
        <v>98</v>
      </c>
      <c r="G422" s="5" t="s">
        <v>99</v>
      </c>
      <c r="H422" s="5" t="s">
        <v>49</v>
      </c>
      <c r="I422" s="5" t="s">
        <v>58</v>
      </c>
      <c r="J422" s="1" t="str">
        <f>HYPERLINK("http://www.radixng.com","www.radixng.com")</f>
        <v>www.radixng.com</v>
      </c>
    </row>
    <row r="423" spans="2:10" x14ac:dyDescent="0.2">
      <c r="B423" s="3" t="s">
        <v>1013</v>
      </c>
      <c r="C423" s="3" t="s">
        <v>10</v>
      </c>
      <c r="D423" s="3" t="s">
        <v>134</v>
      </c>
      <c r="E423" s="4" t="s">
        <v>10</v>
      </c>
      <c r="F423" s="3" t="s">
        <v>93</v>
      </c>
      <c r="G423" s="3" t="s">
        <v>94</v>
      </c>
      <c r="H423" s="3" t="s">
        <v>26</v>
      </c>
      <c r="I423" s="3" t="s">
        <v>27</v>
      </c>
      <c r="J423" s="6" t="str">
        <f>HYPERLINK("http://www.raizers.com","www.raizers.com")</f>
        <v>www.raizers.com</v>
      </c>
    </row>
    <row r="424" spans="2:10" x14ac:dyDescent="0.2">
      <c r="B424" s="5" t="s">
        <v>1014</v>
      </c>
      <c r="C424" s="5" t="s">
        <v>1015</v>
      </c>
      <c r="D424" s="5" t="s">
        <v>862</v>
      </c>
      <c r="E424" s="7" t="s">
        <v>10</v>
      </c>
      <c r="F424" s="5" t="s">
        <v>98</v>
      </c>
      <c r="G424" s="5" t="s">
        <v>99</v>
      </c>
      <c r="H424" s="5" t="s">
        <v>49</v>
      </c>
      <c r="I424" s="5" t="s">
        <v>58</v>
      </c>
      <c r="J424" s="1" t="str">
        <f>HYPERLINK("http://www.rmb.com.ng","www.rmb.com.ng")</f>
        <v>www.rmb.com.ng</v>
      </c>
    </row>
    <row r="425" spans="2:10" x14ac:dyDescent="0.2">
      <c r="B425" s="3" t="s">
        <v>1016</v>
      </c>
      <c r="C425" s="3" t="s">
        <v>1017</v>
      </c>
      <c r="D425" s="3" t="s">
        <v>30</v>
      </c>
      <c r="E425" s="4">
        <v>16</v>
      </c>
      <c r="F425" s="3" t="s">
        <v>13</v>
      </c>
      <c r="G425" s="3" t="s">
        <v>14</v>
      </c>
      <c r="H425" s="3" t="s">
        <v>15</v>
      </c>
      <c r="I425" s="3" t="s">
        <v>16</v>
      </c>
      <c r="J425" s="6" t="str">
        <f>HYPERLINK("http://www.readycaplending.com","www.readycaplending.com")</f>
        <v>www.readycaplending.com</v>
      </c>
    </row>
    <row r="426" spans="2:10" x14ac:dyDescent="0.2">
      <c r="B426" s="5" t="s">
        <v>1018</v>
      </c>
      <c r="C426" s="5" t="s">
        <v>1019</v>
      </c>
      <c r="D426" s="5" t="s">
        <v>134</v>
      </c>
      <c r="E426" s="7">
        <v>118</v>
      </c>
      <c r="F426" s="5" t="s">
        <v>24</v>
      </c>
      <c r="G426" s="5" t="s">
        <v>25</v>
      </c>
      <c r="H426" s="5" t="s">
        <v>26</v>
      </c>
      <c r="I426" s="5" t="s">
        <v>27</v>
      </c>
      <c r="J426" s="1" t="str">
        <f>HYPERLINK("http://europe.republic.com","europe.republic.com")</f>
        <v>europe.republic.com</v>
      </c>
    </row>
    <row r="427" spans="2:10" x14ac:dyDescent="0.2">
      <c r="B427" s="3" t="s">
        <v>1020</v>
      </c>
      <c r="C427" s="3" t="s">
        <v>1021</v>
      </c>
      <c r="D427" s="3" t="s">
        <v>30</v>
      </c>
      <c r="E427" s="4">
        <v>7</v>
      </c>
      <c r="F427" s="3" t="s">
        <v>1022</v>
      </c>
      <c r="G427" s="3" t="s">
        <v>14</v>
      </c>
      <c r="H427" s="3" t="s">
        <v>15</v>
      </c>
      <c r="I427" s="3" t="s">
        <v>16</v>
      </c>
      <c r="J427" s="6" t="str">
        <f>HYPERLINK("http://www.revtekcapital.com","www.revtekcapital.com")</f>
        <v>www.revtekcapital.com</v>
      </c>
    </row>
    <row r="428" spans="2:10" x14ac:dyDescent="0.2">
      <c r="B428" s="5" t="s">
        <v>1023</v>
      </c>
      <c r="C428" s="5" t="s">
        <v>1024</v>
      </c>
      <c r="D428" s="5" t="s">
        <v>97</v>
      </c>
      <c r="E428" s="7">
        <v>31</v>
      </c>
      <c r="F428" s="5" t="s">
        <v>47</v>
      </c>
      <c r="G428" s="5" t="s">
        <v>48</v>
      </c>
      <c r="H428" s="5" t="s">
        <v>49</v>
      </c>
      <c r="I428" s="5" t="s">
        <v>50</v>
      </c>
      <c r="J428" s="1" t="str">
        <f>HYPERLINK("http://www.riqueza-eg.com","www.riqueza-eg.com")</f>
        <v>www.riqueza-eg.com</v>
      </c>
    </row>
    <row r="429" spans="2:10" x14ac:dyDescent="0.2">
      <c r="B429" s="3" t="s">
        <v>1025</v>
      </c>
      <c r="C429" s="3" t="s">
        <v>1026</v>
      </c>
      <c r="D429" s="3" t="s">
        <v>97</v>
      </c>
      <c r="E429" s="4">
        <v>5379</v>
      </c>
      <c r="F429" s="3" t="s">
        <v>93</v>
      </c>
      <c r="G429" s="3" t="s">
        <v>94</v>
      </c>
      <c r="H429" s="3" t="s">
        <v>26</v>
      </c>
      <c r="I429" s="3" t="s">
        <v>27</v>
      </c>
      <c r="J429" s="6" t="str">
        <f>HYPERLINK("http://www.rothschildandco.com","www.rothschildandco.com")</f>
        <v>www.rothschildandco.com</v>
      </c>
    </row>
    <row r="430" spans="2:10" x14ac:dyDescent="0.2">
      <c r="B430" s="5" t="s">
        <v>1027</v>
      </c>
      <c r="C430" s="5" t="s">
        <v>1028</v>
      </c>
      <c r="D430" s="5" t="s">
        <v>44</v>
      </c>
      <c r="E430" s="7">
        <v>4841</v>
      </c>
      <c r="F430" s="5" t="s">
        <v>1029</v>
      </c>
      <c r="G430" s="5" t="s">
        <v>25</v>
      </c>
      <c r="H430" s="5" t="s">
        <v>26</v>
      </c>
      <c r="I430" s="5" t="s">
        <v>27</v>
      </c>
      <c r="J430" s="1" t="str">
        <f>HYPERLINK("http://www.rsmuk.com","www.rsmuk.com")</f>
        <v>www.rsmuk.com</v>
      </c>
    </row>
    <row r="431" spans="2:10" x14ac:dyDescent="0.2">
      <c r="B431" s="3" t="s">
        <v>1030</v>
      </c>
      <c r="C431" s="3" t="s">
        <v>10</v>
      </c>
      <c r="D431" s="3" t="s">
        <v>30</v>
      </c>
      <c r="E431" s="4" t="s">
        <v>10</v>
      </c>
      <c r="F431" s="3" t="s">
        <v>98</v>
      </c>
      <c r="G431" s="3" t="s">
        <v>99</v>
      </c>
      <c r="H431" s="3" t="s">
        <v>49</v>
      </c>
      <c r="I431" s="3" t="s">
        <v>58</v>
      </c>
      <c r="J431" s="6" t="str">
        <f>HYPERLINK("http://sahelcapital.com","sahelcapital.com")</f>
        <v>sahelcapital.com</v>
      </c>
    </row>
    <row r="432" spans="2:10" x14ac:dyDescent="0.2">
      <c r="B432" s="5" t="s">
        <v>1031</v>
      </c>
      <c r="C432" s="5" t="s">
        <v>1032</v>
      </c>
      <c r="D432" s="5" t="s">
        <v>23</v>
      </c>
      <c r="E432" s="7" t="s">
        <v>10</v>
      </c>
      <c r="F432" s="5" t="s">
        <v>93</v>
      </c>
      <c r="G432" s="5" t="s">
        <v>94</v>
      </c>
      <c r="H432" s="5" t="s">
        <v>26</v>
      </c>
      <c r="I432" s="5" t="s">
        <v>27</v>
      </c>
      <c r="J432" s="1" t="str">
        <f>HYPERLINK("http://www.salans.com","www.salans.com")</f>
        <v>www.salans.com</v>
      </c>
    </row>
    <row r="433" spans="2:10" x14ac:dyDescent="0.2">
      <c r="B433" s="3" t="s">
        <v>1033</v>
      </c>
      <c r="C433" s="3" t="s">
        <v>1034</v>
      </c>
      <c r="D433" s="3" t="s">
        <v>12</v>
      </c>
      <c r="E433" s="4">
        <v>609</v>
      </c>
      <c r="F433" s="3" t="s">
        <v>863</v>
      </c>
      <c r="G433" s="3" t="s">
        <v>864</v>
      </c>
      <c r="H433" s="3" t="s">
        <v>236</v>
      </c>
      <c r="I433" s="3" t="s">
        <v>237</v>
      </c>
      <c r="J433" s="6" t="str">
        <f>HYPERLINK("http://www.samsungsecurities.com","www.samsungsecurities.com")</f>
        <v>www.samsungsecurities.com</v>
      </c>
    </row>
    <row r="434" spans="2:10" x14ac:dyDescent="0.2">
      <c r="B434" s="5" t="s">
        <v>1035</v>
      </c>
      <c r="C434" s="5" t="s">
        <v>1036</v>
      </c>
      <c r="D434" s="5" t="s">
        <v>33</v>
      </c>
      <c r="E434" s="7" t="s">
        <v>10</v>
      </c>
      <c r="F434" s="5" t="s">
        <v>90</v>
      </c>
      <c r="G434" s="5" t="s">
        <v>84</v>
      </c>
      <c r="H434" s="5" t="s">
        <v>49</v>
      </c>
      <c r="I434" s="5" t="s">
        <v>85</v>
      </c>
      <c r="J434" s="5" t="s">
        <v>10</v>
      </c>
    </row>
    <row r="435" spans="2:10" x14ac:dyDescent="0.2">
      <c r="B435" s="3" t="s">
        <v>1037</v>
      </c>
      <c r="C435" s="3" t="s">
        <v>1038</v>
      </c>
      <c r="D435" s="3" t="s">
        <v>134</v>
      </c>
      <c r="E435" s="4" t="s">
        <v>10</v>
      </c>
      <c r="F435" s="3" t="s">
        <v>13</v>
      </c>
      <c r="G435" s="3" t="s">
        <v>14</v>
      </c>
      <c r="H435" s="3" t="s">
        <v>15</v>
      </c>
      <c r="I435" s="3" t="s">
        <v>16</v>
      </c>
      <c r="J435" s="6" t="str">
        <f>HYPERLINK("http://www.seedinvest.com","www.seedinvest.com")</f>
        <v>www.seedinvest.com</v>
      </c>
    </row>
    <row r="436" spans="2:10" x14ac:dyDescent="0.2">
      <c r="B436" s="5" t="s">
        <v>1039</v>
      </c>
      <c r="C436" s="5" t="s">
        <v>1040</v>
      </c>
      <c r="D436" s="5" t="s">
        <v>23</v>
      </c>
      <c r="E436" s="7" t="s">
        <v>10</v>
      </c>
      <c r="F436" s="5" t="s">
        <v>47</v>
      </c>
      <c r="G436" s="5" t="s">
        <v>48</v>
      </c>
      <c r="H436" s="5" t="s">
        <v>49</v>
      </c>
      <c r="I436" s="5" t="s">
        <v>50</v>
      </c>
      <c r="J436" s="1" t="str">
        <f>HYPERLINK("http://www.serrylawoffice.com","www.serrylawoffice.com")</f>
        <v>www.serrylawoffice.com</v>
      </c>
    </row>
    <row r="437" spans="2:10" x14ac:dyDescent="0.2">
      <c r="B437" s="3" t="s">
        <v>1041</v>
      </c>
      <c r="C437" s="3" t="s">
        <v>1042</v>
      </c>
      <c r="D437" s="3" t="s">
        <v>23</v>
      </c>
      <c r="E437" s="4">
        <v>166</v>
      </c>
      <c r="F437" s="3" t="s">
        <v>47</v>
      </c>
      <c r="G437" s="3" t="s">
        <v>48</v>
      </c>
      <c r="H437" s="3" t="s">
        <v>49</v>
      </c>
      <c r="I437" s="3" t="s">
        <v>50</v>
      </c>
      <c r="J437" s="6" t="str">
        <f>HYPERLINK("http://www.shalakany.com","www.shalakany.com")</f>
        <v>www.shalakany.com</v>
      </c>
    </row>
    <row r="438" spans="2:10" x14ac:dyDescent="0.2">
      <c r="B438" s="5" t="s">
        <v>1043</v>
      </c>
      <c r="C438" s="5" t="s">
        <v>1044</v>
      </c>
      <c r="D438" s="5" t="s">
        <v>23</v>
      </c>
      <c r="E438" s="7">
        <v>162</v>
      </c>
      <c r="F438" s="5" t="s">
        <v>1045</v>
      </c>
      <c r="G438" s="5" t="s">
        <v>1046</v>
      </c>
      <c r="H438" s="5" t="s">
        <v>236</v>
      </c>
      <c r="I438" s="5" t="s">
        <v>512</v>
      </c>
      <c r="J438" s="1" t="str">
        <f>HYPERLINK("http://www.shooklin.com","www.shooklin.com")</f>
        <v>www.shooklin.com</v>
      </c>
    </row>
    <row r="439" spans="2:10" x14ac:dyDescent="0.2">
      <c r="B439" s="3" t="s">
        <v>1047</v>
      </c>
      <c r="C439" s="3" t="s">
        <v>1048</v>
      </c>
      <c r="D439" s="3" t="s">
        <v>12</v>
      </c>
      <c r="E439" s="4">
        <v>149</v>
      </c>
      <c r="F439" s="3" t="s">
        <v>13</v>
      </c>
      <c r="G439" s="3" t="s">
        <v>14</v>
      </c>
      <c r="H439" s="3" t="s">
        <v>15</v>
      </c>
      <c r="I439" s="3" t="s">
        <v>16</v>
      </c>
      <c r="J439" s="6" t="str">
        <f>HYPERLINK("http://www.siebertwilliams.com","www.siebertwilliams.com")</f>
        <v>www.siebertwilliams.com</v>
      </c>
    </row>
    <row r="440" spans="2:10" x14ac:dyDescent="0.2">
      <c r="B440" s="5" t="s">
        <v>1049</v>
      </c>
      <c r="C440" s="5" t="s">
        <v>1050</v>
      </c>
      <c r="D440" s="5" t="s">
        <v>12</v>
      </c>
      <c r="E440" s="7">
        <v>77</v>
      </c>
      <c r="F440" s="5" t="s">
        <v>708</v>
      </c>
      <c r="G440" s="5" t="s">
        <v>407</v>
      </c>
      <c r="H440" s="5" t="s">
        <v>236</v>
      </c>
      <c r="I440" s="5" t="s">
        <v>408</v>
      </c>
      <c r="J440" s="1" t="str">
        <f>HYPERLINK("http://www.singhi.com","www.singhi.com")</f>
        <v>www.singhi.com</v>
      </c>
    </row>
    <row r="441" spans="2:10" x14ac:dyDescent="0.2">
      <c r="B441" s="3" t="s">
        <v>1051</v>
      </c>
      <c r="C441" s="3" t="s">
        <v>1052</v>
      </c>
      <c r="D441" s="3" t="s">
        <v>33</v>
      </c>
      <c r="E441" s="4">
        <v>20145</v>
      </c>
      <c r="F441" s="3" t="s">
        <v>179</v>
      </c>
      <c r="G441" s="3" t="s">
        <v>180</v>
      </c>
      <c r="H441" s="3" t="s">
        <v>26</v>
      </c>
      <c r="I441" s="3" t="s">
        <v>181</v>
      </c>
      <c r="J441" s="6" t="str">
        <f>HYPERLINK("http://www.sebgroup.com","www.sebgroup.com")</f>
        <v>www.sebgroup.com</v>
      </c>
    </row>
    <row r="442" spans="2:10" x14ac:dyDescent="0.2">
      <c r="B442" s="5" t="s">
        <v>1053</v>
      </c>
      <c r="C442" s="5" t="s">
        <v>1054</v>
      </c>
      <c r="D442" s="5" t="s">
        <v>23</v>
      </c>
      <c r="E442" s="7">
        <v>2021</v>
      </c>
      <c r="F442" s="5" t="s">
        <v>24</v>
      </c>
      <c r="G442" s="5" t="s">
        <v>25</v>
      </c>
      <c r="H442" s="5" t="s">
        <v>26</v>
      </c>
      <c r="I442" s="5" t="s">
        <v>27</v>
      </c>
      <c r="J442" s="1" t="str">
        <f>HYPERLINK("http://www.slaughterandmay.com","www.slaughterandmay.com")</f>
        <v>www.slaughterandmay.com</v>
      </c>
    </row>
    <row r="443" spans="2:10" x14ac:dyDescent="0.2">
      <c r="B443" s="3" t="s">
        <v>1055</v>
      </c>
      <c r="C443" s="3" t="s">
        <v>10</v>
      </c>
      <c r="D443" s="3" t="s">
        <v>331</v>
      </c>
      <c r="E443" s="4" t="s">
        <v>10</v>
      </c>
      <c r="F443" s="3" t="s">
        <v>517</v>
      </c>
      <c r="G443" s="3" t="s">
        <v>275</v>
      </c>
      <c r="H443" s="3" t="s">
        <v>223</v>
      </c>
      <c r="I443" s="3" t="s">
        <v>223</v>
      </c>
      <c r="J443" s="3" t="s">
        <v>10</v>
      </c>
    </row>
    <row r="444" spans="2:10" x14ac:dyDescent="0.2">
      <c r="B444" s="5" t="s">
        <v>1056</v>
      </c>
      <c r="C444" s="5" t="s">
        <v>10</v>
      </c>
      <c r="D444" s="5" t="s">
        <v>30</v>
      </c>
      <c r="E444" s="7" t="s">
        <v>10</v>
      </c>
      <c r="F444" s="5" t="s">
        <v>106</v>
      </c>
      <c r="G444" s="5" t="s">
        <v>107</v>
      </c>
      <c r="H444" s="5" t="s">
        <v>26</v>
      </c>
      <c r="I444" s="5" t="s">
        <v>27</v>
      </c>
      <c r="J444" s="5" t="s">
        <v>10</v>
      </c>
    </row>
    <row r="445" spans="2:10" x14ac:dyDescent="0.2">
      <c r="B445" s="3" t="s">
        <v>1057</v>
      </c>
      <c r="C445" s="3" t="s">
        <v>1058</v>
      </c>
      <c r="D445" s="3" t="s">
        <v>97</v>
      </c>
      <c r="E445" s="4">
        <v>34</v>
      </c>
      <c r="F445" s="3" t="s">
        <v>1059</v>
      </c>
      <c r="G445" s="3" t="s">
        <v>14</v>
      </c>
      <c r="H445" s="3" t="s">
        <v>15</v>
      </c>
      <c r="I445" s="3" t="s">
        <v>16</v>
      </c>
      <c r="J445" s="6" t="str">
        <f>HYPERLINK("http://www.solecap.com","www.solecap.com")</f>
        <v>www.solecap.com</v>
      </c>
    </row>
    <row r="446" spans="2:10" x14ac:dyDescent="0.2">
      <c r="B446" s="5" t="s">
        <v>1060</v>
      </c>
      <c r="C446" s="5" t="s">
        <v>1061</v>
      </c>
      <c r="D446" s="5" t="s">
        <v>23</v>
      </c>
      <c r="E446" s="7">
        <v>404</v>
      </c>
      <c r="F446" s="5" t="s">
        <v>1062</v>
      </c>
      <c r="G446" s="5" t="s">
        <v>1063</v>
      </c>
      <c r="H446" s="5" t="s">
        <v>26</v>
      </c>
      <c r="I446" s="5" t="s">
        <v>181</v>
      </c>
      <c r="J446" s="1" t="str">
        <f>HYPERLINK("http://www.sorainen.com","www.sorainen.com")</f>
        <v>www.sorainen.com</v>
      </c>
    </row>
    <row r="447" spans="2:10" x14ac:dyDescent="0.2">
      <c r="B447" s="3" t="s">
        <v>1064</v>
      </c>
      <c r="C447" s="3" t="s">
        <v>1065</v>
      </c>
      <c r="D447" s="3" t="s">
        <v>23</v>
      </c>
      <c r="E447" s="4" t="s">
        <v>10</v>
      </c>
      <c r="F447" s="3" t="s">
        <v>487</v>
      </c>
      <c r="G447" s="3" t="s">
        <v>308</v>
      </c>
      <c r="H447" s="3" t="s">
        <v>49</v>
      </c>
      <c r="I447" s="3" t="s">
        <v>58</v>
      </c>
      <c r="J447" s="6" t="str">
        <f>HYPERLINK("http://www.sorylawgh.com","www.sorylawgh.com")</f>
        <v>www.sorylawgh.com</v>
      </c>
    </row>
    <row r="448" spans="2:10" x14ac:dyDescent="0.2">
      <c r="B448" s="5" t="s">
        <v>1066</v>
      </c>
      <c r="C448" s="5" t="s">
        <v>1067</v>
      </c>
      <c r="D448" s="5" t="s">
        <v>134</v>
      </c>
      <c r="E448" s="7">
        <v>14</v>
      </c>
      <c r="F448" s="5" t="s">
        <v>293</v>
      </c>
      <c r="G448" s="5" t="s">
        <v>294</v>
      </c>
      <c r="H448" s="5" t="s">
        <v>26</v>
      </c>
      <c r="I448" s="5" t="s">
        <v>27</v>
      </c>
      <c r="J448" s="1" t="str">
        <f>HYPERLINK("http://www.spreds.com","www.spreds.com")</f>
        <v>www.spreds.com</v>
      </c>
    </row>
    <row r="449" spans="2:10" x14ac:dyDescent="0.2">
      <c r="B449" s="3" t="s">
        <v>1068</v>
      </c>
      <c r="C449" s="3" t="s">
        <v>10</v>
      </c>
      <c r="D449" s="3" t="s">
        <v>97</v>
      </c>
      <c r="E449" s="4" t="s">
        <v>10</v>
      </c>
      <c r="F449" s="3" t="s">
        <v>1069</v>
      </c>
      <c r="G449" s="3" t="s">
        <v>99</v>
      </c>
      <c r="H449" s="3" t="s">
        <v>49</v>
      </c>
      <c r="I449" s="3" t="s">
        <v>58</v>
      </c>
      <c r="J449" s="6" t="str">
        <f>HYPERLINK("http://www.stanbicibtcassetmanagement.com","www.stanbicibtcassetmanagement.com")</f>
        <v>www.stanbicibtcassetmanagement.com</v>
      </c>
    </row>
    <row r="450" spans="2:10" x14ac:dyDescent="0.2">
      <c r="B450" s="5" t="s">
        <v>1070</v>
      </c>
      <c r="C450" s="5" t="s">
        <v>1071</v>
      </c>
      <c r="D450" s="5" t="s">
        <v>12</v>
      </c>
      <c r="E450" s="7">
        <v>51</v>
      </c>
      <c r="F450" s="5" t="s">
        <v>1072</v>
      </c>
      <c r="G450" s="5" t="s">
        <v>99</v>
      </c>
      <c r="H450" s="5" t="s">
        <v>49</v>
      </c>
      <c r="I450" s="5" t="s">
        <v>58</v>
      </c>
      <c r="J450" s="1" t="str">
        <f>HYPERLINK("http://www.stanbicibtccapital.com","www.stanbicibtccapital.com")</f>
        <v>www.stanbicibtccapital.com</v>
      </c>
    </row>
    <row r="451" spans="2:10" x14ac:dyDescent="0.2">
      <c r="B451" s="3" t="s">
        <v>1073</v>
      </c>
      <c r="C451" s="3" t="s">
        <v>1074</v>
      </c>
      <c r="D451" s="3" t="s">
        <v>33</v>
      </c>
      <c r="E451" s="4">
        <v>10819</v>
      </c>
      <c r="F451" s="3" t="s">
        <v>90</v>
      </c>
      <c r="G451" s="3" t="s">
        <v>84</v>
      </c>
      <c r="H451" s="3" t="s">
        <v>49</v>
      </c>
      <c r="I451" s="3" t="s">
        <v>85</v>
      </c>
      <c r="J451" s="6" t="str">
        <f>HYPERLINK("http://www.standardbank.co.za","www.standardbank.co.za")</f>
        <v>www.standardbank.co.za</v>
      </c>
    </row>
    <row r="452" spans="2:10" x14ac:dyDescent="0.2">
      <c r="B452" s="5" t="s">
        <v>1075</v>
      </c>
      <c r="C452" s="5" t="s">
        <v>1076</v>
      </c>
      <c r="D452" s="5" t="s">
        <v>33</v>
      </c>
      <c r="E452" s="7">
        <v>85000</v>
      </c>
      <c r="F452" s="5" t="s">
        <v>24</v>
      </c>
      <c r="G452" s="5" t="s">
        <v>25</v>
      </c>
      <c r="H452" s="5" t="s">
        <v>26</v>
      </c>
      <c r="I452" s="5" t="s">
        <v>27</v>
      </c>
      <c r="J452" s="1" t="str">
        <f>HYPERLINK("http://www.sc.com","www.sc.com")</f>
        <v>www.sc.com</v>
      </c>
    </row>
    <row r="453" spans="2:10" x14ac:dyDescent="0.2">
      <c r="B453" s="3" t="s">
        <v>1077</v>
      </c>
      <c r="C453" s="3" t="s">
        <v>1078</v>
      </c>
      <c r="D453" s="3" t="s">
        <v>23</v>
      </c>
      <c r="E453" s="4">
        <v>10</v>
      </c>
      <c r="F453" s="3" t="s">
        <v>1079</v>
      </c>
      <c r="G453" s="3" t="s">
        <v>1080</v>
      </c>
      <c r="H453" s="3" t="s">
        <v>26</v>
      </c>
      <c r="I453" s="3" t="s">
        <v>286</v>
      </c>
      <c r="J453" s="6" t="str">
        <f>HYPERLINK("http://www.stanivuk-manasijevski.com","www.stanivuk-manasijevski.com")</f>
        <v>www.stanivuk-manasijevski.com</v>
      </c>
    </row>
    <row r="454" spans="2:10" x14ac:dyDescent="0.2">
      <c r="B454" s="5" t="s">
        <v>1081</v>
      </c>
      <c r="C454" s="5" t="s">
        <v>10</v>
      </c>
      <c r="D454" s="5" t="s">
        <v>134</v>
      </c>
      <c r="E454" s="7" t="s">
        <v>10</v>
      </c>
      <c r="F454" s="5" t="s">
        <v>827</v>
      </c>
      <c r="G454" s="5" t="s">
        <v>551</v>
      </c>
      <c r="H454" s="5" t="s">
        <v>552</v>
      </c>
      <c r="I454" s="5" t="s">
        <v>552</v>
      </c>
      <c r="J454" s="1" t="str">
        <f>HYPERLINK("http://www.startsomegood.com","www.startsomegood.com")</f>
        <v>www.startsomegood.com</v>
      </c>
    </row>
    <row r="455" spans="2:10" x14ac:dyDescent="0.2">
      <c r="B455" s="3" t="s">
        <v>1082</v>
      </c>
      <c r="C455" s="3" t="s">
        <v>1083</v>
      </c>
      <c r="D455" s="3" t="s">
        <v>134</v>
      </c>
      <c r="E455" s="4">
        <v>75</v>
      </c>
      <c r="F455" s="3" t="s">
        <v>1084</v>
      </c>
      <c r="G455" s="3" t="s">
        <v>14</v>
      </c>
      <c r="H455" s="3" t="s">
        <v>15</v>
      </c>
      <c r="I455" s="3" t="s">
        <v>16</v>
      </c>
      <c r="J455" s="6" t="str">
        <f>HYPERLINK("http://www.startup.network","www.startup.network")</f>
        <v>www.startup.network</v>
      </c>
    </row>
    <row r="456" spans="2:10" x14ac:dyDescent="0.2">
      <c r="B456" s="5" t="s">
        <v>1085</v>
      </c>
      <c r="C456" s="5" t="s">
        <v>1086</v>
      </c>
      <c r="D456" s="5" t="s">
        <v>23</v>
      </c>
      <c r="E456" s="7">
        <v>184</v>
      </c>
      <c r="F456" s="5" t="s">
        <v>106</v>
      </c>
      <c r="G456" s="5" t="s">
        <v>107</v>
      </c>
      <c r="H456" s="5" t="s">
        <v>26</v>
      </c>
      <c r="I456" s="5" t="s">
        <v>27</v>
      </c>
      <c r="J456" s="1" t="str">
        <f>HYPERLINK("http://www.stek.com","www.stek.com")</f>
        <v>www.stek.com</v>
      </c>
    </row>
    <row r="457" spans="2:10" x14ac:dyDescent="0.2">
      <c r="B457" s="3" t="s">
        <v>1087</v>
      </c>
      <c r="C457" s="3" t="s">
        <v>1088</v>
      </c>
      <c r="D457" s="3" t="s">
        <v>331</v>
      </c>
      <c r="E457" s="4">
        <v>35</v>
      </c>
      <c r="F457" s="3" t="s">
        <v>90</v>
      </c>
      <c r="G457" s="3" t="s">
        <v>84</v>
      </c>
      <c r="H457" s="3" t="s">
        <v>49</v>
      </c>
      <c r="I457" s="3" t="s">
        <v>85</v>
      </c>
      <c r="J457" s="6" t="str">
        <f>HYPERLINK("http://www.stepadvisory.com","www.stepadvisory.com")</f>
        <v>www.stepadvisory.com</v>
      </c>
    </row>
    <row r="458" spans="2:10" x14ac:dyDescent="0.2">
      <c r="B458" s="5" t="s">
        <v>1089</v>
      </c>
      <c r="C458" s="5" t="s">
        <v>1090</v>
      </c>
      <c r="D458" s="5" t="s">
        <v>12</v>
      </c>
      <c r="E458" s="7">
        <v>7073</v>
      </c>
      <c r="F458" s="5" t="s">
        <v>1091</v>
      </c>
      <c r="G458" s="5" t="s">
        <v>14</v>
      </c>
      <c r="H458" s="5" t="s">
        <v>15</v>
      </c>
      <c r="I458" s="5" t="s">
        <v>16</v>
      </c>
      <c r="J458" s="1" t="str">
        <f>HYPERLINK("http://www.stifel.com","www.stifel.com")</f>
        <v>www.stifel.com</v>
      </c>
    </row>
    <row r="459" spans="2:10" x14ac:dyDescent="0.2">
      <c r="B459" s="3" t="s">
        <v>1092</v>
      </c>
      <c r="C459" s="3" t="s">
        <v>1093</v>
      </c>
      <c r="D459" s="3" t="s">
        <v>97</v>
      </c>
      <c r="E459" s="4">
        <v>18</v>
      </c>
      <c r="F459" s="3" t="s">
        <v>76</v>
      </c>
      <c r="G459" s="3" t="s">
        <v>77</v>
      </c>
      <c r="H459" s="3" t="s">
        <v>49</v>
      </c>
      <c r="I459" s="3" t="s">
        <v>78</v>
      </c>
      <c r="J459" s="6" t="str">
        <f>HYPERLINK("http://www.stratlinkglobal.com","www.stratlinkglobal.com")</f>
        <v>www.stratlinkglobal.com</v>
      </c>
    </row>
    <row r="460" spans="2:10" x14ac:dyDescent="0.2">
      <c r="B460" s="5" t="s">
        <v>1094</v>
      </c>
      <c r="C460" s="5" t="s">
        <v>1095</v>
      </c>
      <c r="D460" s="5" t="s">
        <v>33</v>
      </c>
      <c r="E460" s="7">
        <v>2338</v>
      </c>
      <c r="F460" s="5" t="s">
        <v>1096</v>
      </c>
      <c r="G460" s="5" t="s">
        <v>14</v>
      </c>
      <c r="H460" s="5" t="s">
        <v>15</v>
      </c>
      <c r="I460" s="5" t="s">
        <v>16</v>
      </c>
      <c r="J460" s="1" t="str">
        <f>HYPERLINK("http://www.svbfg.com","www.svbfg.com")</f>
        <v>www.svbfg.com</v>
      </c>
    </row>
    <row r="461" spans="2:10" x14ac:dyDescent="0.2">
      <c r="B461" s="3" t="s">
        <v>1097</v>
      </c>
      <c r="C461" s="3" t="s">
        <v>1098</v>
      </c>
      <c r="D461" s="3" t="s">
        <v>97</v>
      </c>
      <c r="E461" s="4">
        <v>334</v>
      </c>
      <c r="F461" s="3" t="s">
        <v>1099</v>
      </c>
      <c r="G461" s="3" t="s">
        <v>14</v>
      </c>
      <c r="H461" s="3" t="s">
        <v>15</v>
      </c>
      <c r="I461" s="3" t="s">
        <v>16</v>
      </c>
      <c r="J461" s="6" t="str">
        <f>HYPERLINK("http://www.synergyconsultingifa.com","www.synergyconsultingifa.com")</f>
        <v>www.synergyconsultingifa.com</v>
      </c>
    </row>
    <row r="462" spans="2:10" x14ac:dyDescent="0.2">
      <c r="B462" s="5" t="s">
        <v>1100</v>
      </c>
      <c r="C462" s="5" t="s">
        <v>1101</v>
      </c>
      <c r="D462" s="5" t="s">
        <v>23</v>
      </c>
      <c r="E462" s="7">
        <v>30</v>
      </c>
      <c r="F462" s="5" t="s">
        <v>47</v>
      </c>
      <c r="G462" s="5" t="s">
        <v>48</v>
      </c>
      <c r="H462" s="5" t="s">
        <v>49</v>
      </c>
      <c r="I462" s="5" t="s">
        <v>50</v>
      </c>
      <c r="J462" s="1" t="str">
        <f>HYPERLINK("http://www.tahoun.com","www.tahoun.com")</f>
        <v>www.tahoun.com</v>
      </c>
    </row>
    <row r="463" spans="2:10" x14ac:dyDescent="0.2">
      <c r="B463" s="3" t="s">
        <v>1102</v>
      </c>
      <c r="C463" s="3" t="s">
        <v>1103</v>
      </c>
      <c r="D463" s="3" t="s">
        <v>97</v>
      </c>
      <c r="E463" s="4">
        <v>17</v>
      </c>
      <c r="F463" s="3" t="s">
        <v>351</v>
      </c>
      <c r="G463" s="3" t="s">
        <v>84</v>
      </c>
      <c r="H463" s="3" t="s">
        <v>49</v>
      </c>
      <c r="I463" s="3" t="s">
        <v>85</v>
      </c>
      <c r="J463" s="6" t="str">
        <f>HYPERLINK("http://www.tamela.co.za","www.tamela.co.za")</f>
        <v>www.tamela.co.za</v>
      </c>
    </row>
    <row r="464" spans="2:10" x14ac:dyDescent="0.2">
      <c r="B464" s="5" t="s">
        <v>1104</v>
      </c>
      <c r="C464" s="5" t="s">
        <v>1105</v>
      </c>
      <c r="D464" s="5" t="s">
        <v>23</v>
      </c>
      <c r="E464" s="7">
        <v>1846</v>
      </c>
      <c r="F464" s="5" t="s">
        <v>24</v>
      </c>
      <c r="G464" s="5" t="s">
        <v>25</v>
      </c>
      <c r="H464" s="5" t="s">
        <v>26</v>
      </c>
      <c r="I464" s="5" t="s">
        <v>27</v>
      </c>
      <c r="J464" s="1" t="str">
        <f>HYPERLINK("http://www.taylorwessing.com","www.taylorwessing.com")</f>
        <v>www.taylorwessing.com</v>
      </c>
    </row>
    <row r="465" spans="2:10" x14ac:dyDescent="0.2">
      <c r="B465" s="3" t="s">
        <v>1106</v>
      </c>
      <c r="C465" s="3" t="s">
        <v>1107</v>
      </c>
      <c r="D465" s="3" t="s">
        <v>23</v>
      </c>
      <c r="E465" s="4">
        <v>254</v>
      </c>
      <c r="F465" s="3" t="s">
        <v>98</v>
      </c>
      <c r="G465" s="3" t="s">
        <v>99</v>
      </c>
      <c r="H465" s="3" t="s">
        <v>49</v>
      </c>
      <c r="I465" s="3" t="s">
        <v>58</v>
      </c>
      <c r="J465" s="6" t="str">
        <f>HYPERLINK("http://templars-law.com","templars-law.com")</f>
        <v>templars-law.com</v>
      </c>
    </row>
    <row r="466" spans="2:10" x14ac:dyDescent="0.2">
      <c r="B466" s="5" t="s">
        <v>1108</v>
      </c>
      <c r="C466" s="5" t="s">
        <v>1109</v>
      </c>
      <c r="D466" s="5" t="s">
        <v>97</v>
      </c>
      <c r="E466" s="7">
        <v>1760</v>
      </c>
      <c r="F466" s="5" t="s">
        <v>13</v>
      </c>
      <c r="G466" s="5" t="s">
        <v>14</v>
      </c>
      <c r="H466" s="5" t="s">
        <v>15</v>
      </c>
      <c r="I466" s="5" t="s">
        <v>16</v>
      </c>
      <c r="J466" s="1" t="str">
        <f>HYPERLINK("http://www.teneo.com","www.teneo.com")</f>
        <v>www.teneo.com</v>
      </c>
    </row>
    <row r="467" spans="2:10" x14ac:dyDescent="0.2">
      <c r="B467" s="3" t="s">
        <v>1110</v>
      </c>
      <c r="C467" s="3" t="s">
        <v>1111</v>
      </c>
      <c r="D467" s="3" t="s">
        <v>97</v>
      </c>
      <c r="E467" s="4">
        <v>5</v>
      </c>
      <c r="F467" s="3" t="s">
        <v>1112</v>
      </c>
      <c r="G467" s="3" t="s">
        <v>107</v>
      </c>
      <c r="H467" s="3" t="s">
        <v>26</v>
      </c>
      <c r="I467" s="3" t="s">
        <v>27</v>
      </c>
      <c r="J467" s="6" t="str">
        <f>HYPERLINK("http://www.terraproteinequity.com","www.terraproteinequity.com")</f>
        <v>www.terraproteinequity.com</v>
      </c>
    </row>
    <row r="468" spans="2:10" x14ac:dyDescent="0.2">
      <c r="B468" s="5" t="s">
        <v>1113</v>
      </c>
      <c r="C468" s="5" t="s">
        <v>10</v>
      </c>
      <c r="D468" s="5" t="s">
        <v>331</v>
      </c>
      <c r="E468" s="7" t="s">
        <v>10</v>
      </c>
      <c r="F468" s="5" t="s">
        <v>24</v>
      </c>
      <c r="G468" s="5" t="s">
        <v>25</v>
      </c>
      <c r="H468" s="5" t="s">
        <v>26</v>
      </c>
      <c r="I468" s="5" t="s">
        <v>27</v>
      </c>
      <c r="J468" s="1" t="str">
        <f>HYPERLINK("http://www.erm.com","www.erm.com")</f>
        <v>www.erm.com</v>
      </c>
    </row>
    <row r="469" spans="2:10" x14ac:dyDescent="0.2">
      <c r="B469" s="3" t="s">
        <v>1114</v>
      </c>
      <c r="C469" s="3" t="s">
        <v>1115</v>
      </c>
      <c r="D469" s="3" t="s">
        <v>23</v>
      </c>
      <c r="E469" s="4">
        <v>40</v>
      </c>
      <c r="F469" s="3" t="s">
        <v>98</v>
      </c>
      <c r="G469" s="3" t="s">
        <v>99</v>
      </c>
      <c r="H469" s="3" t="s">
        <v>49</v>
      </c>
      <c r="I469" s="3" t="s">
        <v>58</v>
      </c>
      <c r="J469" s="6" t="str">
        <f>HYPERLINK("http://www.tnp.com.ng","www.tnp.com.ng")</f>
        <v>www.tnp.com.ng</v>
      </c>
    </row>
    <row r="470" spans="2:10" x14ac:dyDescent="0.2">
      <c r="B470" s="5" t="s">
        <v>1116</v>
      </c>
      <c r="C470" s="5" t="s">
        <v>10</v>
      </c>
      <c r="D470" s="5" t="s">
        <v>134</v>
      </c>
      <c r="E470" s="7" t="s">
        <v>10</v>
      </c>
      <c r="F470" s="5" t="s">
        <v>1117</v>
      </c>
      <c r="G470" s="5" t="s">
        <v>14</v>
      </c>
      <c r="H470" s="5" t="s">
        <v>15</v>
      </c>
      <c r="I470" s="5" t="s">
        <v>16</v>
      </c>
      <c r="J470" s="5" t="s">
        <v>10</v>
      </c>
    </row>
    <row r="471" spans="2:10" x14ac:dyDescent="0.2">
      <c r="B471" s="3" t="s">
        <v>1118</v>
      </c>
      <c r="C471" s="3" t="s">
        <v>1119</v>
      </c>
      <c r="D471" s="3" t="s">
        <v>12</v>
      </c>
      <c r="E471" s="4" t="s">
        <v>10</v>
      </c>
      <c r="F471" s="3" t="s">
        <v>13</v>
      </c>
      <c r="G471" s="3" t="s">
        <v>14</v>
      </c>
      <c r="H471" s="3" t="s">
        <v>15</v>
      </c>
      <c r="I471" s="3" t="s">
        <v>16</v>
      </c>
      <c r="J471" s="6" t="str">
        <f>HYPERLINK("http://www.willcap.com","www.willcap.com")</f>
        <v>www.willcap.com</v>
      </c>
    </row>
    <row r="472" spans="2:10" x14ac:dyDescent="0.2">
      <c r="B472" s="5" t="s">
        <v>1120</v>
      </c>
      <c r="C472" s="5" t="s">
        <v>1121</v>
      </c>
      <c r="D472" s="5" t="s">
        <v>23</v>
      </c>
      <c r="E472" s="7">
        <v>21</v>
      </c>
      <c r="F472" s="5" t="s">
        <v>190</v>
      </c>
      <c r="G472" s="5" t="s">
        <v>84</v>
      </c>
      <c r="H472" s="5" t="s">
        <v>49</v>
      </c>
      <c r="I472" s="5" t="s">
        <v>85</v>
      </c>
      <c r="J472" s="1" t="str">
        <f>HYPERLINK("http://www.themislawchambers.co.za","www.themislawchambers.co.za")</f>
        <v>www.themislawchambers.co.za</v>
      </c>
    </row>
    <row r="473" spans="2:10" x14ac:dyDescent="0.2">
      <c r="B473" s="3" t="s">
        <v>1122</v>
      </c>
      <c r="C473" s="3" t="s">
        <v>1123</v>
      </c>
      <c r="D473" s="3" t="s">
        <v>331</v>
      </c>
      <c r="E473" s="4">
        <v>9</v>
      </c>
      <c r="F473" s="3" t="s">
        <v>1124</v>
      </c>
      <c r="G473" s="3" t="s">
        <v>84</v>
      </c>
      <c r="H473" s="3" t="s">
        <v>49</v>
      </c>
      <c r="I473" s="3" t="s">
        <v>85</v>
      </c>
      <c r="J473" s="6" t="str">
        <f>HYPERLINK("http://thinkroom.co","thinkroom.co")</f>
        <v>thinkroom.co</v>
      </c>
    </row>
    <row r="474" spans="2:10" x14ac:dyDescent="0.2">
      <c r="B474" s="5" t="s">
        <v>1125</v>
      </c>
      <c r="C474" s="5" t="s">
        <v>10</v>
      </c>
      <c r="D474" s="5" t="s">
        <v>338</v>
      </c>
      <c r="E474" s="7" t="s">
        <v>10</v>
      </c>
      <c r="F474" s="5" t="s">
        <v>351</v>
      </c>
      <c r="G474" s="5" t="s">
        <v>84</v>
      </c>
      <c r="H474" s="5" t="s">
        <v>49</v>
      </c>
      <c r="I474" s="5" t="s">
        <v>85</v>
      </c>
      <c r="J474" s="1" t="str">
        <f>HYPERLINK("http://www.thirdway.co.za","www.thirdway.co.za")</f>
        <v>www.thirdway.co.za</v>
      </c>
    </row>
    <row r="475" spans="2:10" x14ac:dyDescent="0.2">
      <c r="B475" s="3" t="s">
        <v>1126</v>
      </c>
      <c r="C475" s="3" t="s">
        <v>10</v>
      </c>
      <c r="D475" s="3" t="s">
        <v>97</v>
      </c>
      <c r="E475" s="4" t="s">
        <v>10</v>
      </c>
      <c r="F475" s="3" t="s">
        <v>1127</v>
      </c>
      <c r="G475" s="3" t="s">
        <v>285</v>
      </c>
      <c r="H475" s="3" t="s">
        <v>26</v>
      </c>
      <c r="I475" s="3" t="s">
        <v>286</v>
      </c>
      <c r="J475" s="6" t="str">
        <f>HYPERLINK("http://www.timonelconsulting.es","www.timonelconsulting.es")</f>
        <v>www.timonelconsulting.es</v>
      </c>
    </row>
    <row r="476" spans="2:10" x14ac:dyDescent="0.2">
      <c r="B476" s="5" t="s">
        <v>1128</v>
      </c>
      <c r="C476" s="5" t="s">
        <v>1129</v>
      </c>
      <c r="D476" s="5" t="s">
        <v>30</v>
      </c>
      <c r="E476" s="7">
        <v>66</v>
      </c>
      <c r="F476" s="5" t="s">
        <v>612</v>
      </c>
      <c r="G476" s="5" t="s">
        <v>14</v>
      </c>
      <c r="H476" s="5" t="s">
        <v>15</v>
      </c>
      <c r="I476" s="5" t="s">
        <v>16</v>
      </c>
      <c r="J476" s="1" t="str">
        <f>HYPERLINK("http://www.transpecos.bank","www.transpecos.bank")</f>
        <v>www.transpecos.bank</v>
      </c>
    </row>
    <row r="477" spans="2:10" x14ac:dyDescent="0.2">
      <c r="B477" s="3" t="s">
        <v>1130</v>
      </c>
      <c r="C477" s="3" t="s">
        <v>1131</v>
      </c>
      <c r="D477" s="3" t="s">
        <v>134</v>
      </c>
      <c r="E477" s="4" t="s">
        <v>10</v>
      </c>
      <c r="F477" s="3" t="s">
        <v>1132</v>
      </c>
      <c r="G477" s="3" t="s">
        <v>14</v>
      </c>
      <c r="H477" s="3" t="s">
        <v>15</v>
      </c>
      <c r="I477" s="3" t="s">
        <v>16</v>
      </c>
      <c r="J477" s="6" t="str">
        <f>HYPERLINK("http://www.us.trucrowd.com","www.us.trucrowd.com")</f>
        <v>www.us.trucrowd.com</v>
      </c>
    </row>
    <row r="478" spans="2:10" x14ac:dyDescent="0.2">
      <c r="B478" s="5" t="s">
        <v>1133</v>
      </c>
      <c r="C478" s="5" t="s">
        <v>1134</v>
      </c>
      <c r="D478" s="5" t="s">
        <v>23</v>
      </c>
      <c r="E478" s="7" t="s">
        <v>10</v>
      </c>
      <c r="F478" s="5" t="s">
        <v>351</v>
      </c>
      <c r="G478" s="5" t="s">
        <v>84</v>
      </c>
      <c r="H478" s="5" t="s">
        <v>49</v>
      </c>
      <c r="I478" s="5" t="s">
        <v>85</v>
      </c>
      <c r="J478" s="1" t="str">
        <f>HYPERLINK("http://www.twb.co.za","www.twb.co.za")</f>
        <v>www.twb.co.za</v>
      </c>
    </row>
    <row r="479" spans="2:10" x14ac:dyDescent="0.2">
      <c r="B479" s="3" t="s">
        <v>1135</v>
      </c>
      <c r="C479" s="3" t="s">
        <v>1136</v>
      </c>
      <c r="D479" s="3" t="s">
        <v>30</v>
      </c>
      <c r="E479" s="4" t="s">
        <v>10</v>
      </c>
      <c r="F479" s="3" t="s">
        <v>905</v>
      </c>
      <c r="G479" s="3" t="s">
        <v>884</v>
      </c>
      <c r="H479" s="3" t="s">
        <v>49</v>
      </c>
      <c r="I479" s="3" t="s">
        <v>50</v>
      </c>
      <c r="J479" s="6" t="str">
        <f>HYPERLINK("http://www.taefund.org","www.taefund.org")</f>
        <v>www.taefund.org</v>
      </c>
    </row>
    <row r="480" spans="2:10" x14ac:dyDescent="0.2">
      <c r="B480" s="5" t="s">
        <v>1137</v>
      </c>
      <c r="C480" s="5" t="s">
        <v>1138</v>
      </c>
      <c r="D480" s="5" t="s">
        <v>30</v>
      </c>
      <c r="E480" s="7">
        <v>12</v>
      </c>
      <c r="F480" s="5" t="s">
        <v>179</v>
      </c>
      <c r="G480" s="5" t="s">
        <v>180</v>
      </c>
      <c r="H480" s="5" t="s">
        <v>26</v>
      </c>
      <c r="I480" s="5" t="s">
        <v>181</v>
      </c>
      <c r="J480" s="1" t="str">
        <f>HYPERLINK("http://www.tureinvest.se","www.tureinvest.se")</f>
        <v>www.tureinvest.se</v>
      </c>
    </row>
    <row r="481" spans="2:10" x14ac:dyDescent="0.2">
      <c r="B481" s="3" t="s">
        <v>1139</v>
      </c>
      <c r="C481" s="3" t="s">
        <v>1140</v>
      </c>
      <c r="D481" s="3" t="s">
        <v>97</v>
      </c>
      <c r="E481" s="4" t="s">
        <v>10</v>
      </c>
      <c r="F481" s="3" t="s">
        <v>765</v>
      </c>
      <c r="G481" s="3" t="s">
        <v>766</v>
      </c>
      <c r="H481" s="3" t="s">
        <v>26</v>
      </c>
      <c r="I481" s="3" t="s">
        <v>286</v>
      </c>
      <c r="J481" s="6" t="str">
        <f>HYPERLINK("http://www.u-start.biz","www.u-start.biz")</f>
        <v>www.u-start.biz</v>
      </c>
    </row>
    <row r="482" spans="2:10" x14ac:dyDescent="0.2">
      <c r="B482" s="5" t="s">
        <v>1141</v>
      </c>
      <c r="C482" s="5" t="s">
        <v>1142</v>
      </c>
      <c r="D482" s="5" t="s">
        <v>23</v>
      </c>
      <c r="E482" s="7">
        <v>153</v>
      </c>
      <c r="F482" s="5" t="s">
        <v>98</v>
      </c>
      <c r="G482" s="5" t="s">
        <v>99</v>
      </c>
      <c r="H482" s="5" t="s">
        <v>49</v>
      </c>
      <c r="I482" s="5" t="s">
        <v>58</v>
      </c>
      <c r="J482" s="1" t="str">
        <f>HYPERLINK("http://www.uubo.org","www.uubo.org")</f>
        <v>www.uubo.org</v>
      </c>
    </row>
    <row r="483" spans="2:10" x14ac:dyDescent="0.2">
      <c r="B483" s="3" t="s">
        <v>1143</v>
      </c>
      <c r="C483" s="3" t="s">
        <v>1144</v>
      </c>
      <c r="D483" s="3" t="s">
        <v>134</v>
      </c>
      <c r="E483" s="4">
        <v>77</v>
      </c>
      <c r="F483" s="3" t="s">
        <v>93</v>
      </c>
      <c r="G483" s="3" t="s">
        <v>94</v>
      </c>
      <c r="H483" s="3" t="s">
        <v>26</v>
      </c>
      <c r="I483" s="3" t="s">
        <v>27</v>
      </c>
      <c r="J483" s="6" t="str">
        <f>HYPERLINK("http://www.ulule.com","www.ulule.com")</f>
        <v>www.ulule.com</v>
      </c>
    </row>
    <row r="484" spans="2:10" x14ac:dyDescent="0.2">
      <c r="B484" s="5" t="s">
        <v>1145</v>
      </c>
      <c r="C484" s="5" t="s">
        <v>10</v>
      </c>
      <c r="D484" s="5" t="s">
        <v>97</v>
      </c>
      <c r="E484" s="7" t="s">
        <v>10</v>
      </c>
      <c r="F484" s="5" t="s">
        <v>487</v>
      </c>
      <c r="G484" s="5" t="s">
        <v>308</v>
      </c>
      <c r="H484" s="5" t="s">
        <v>49</v>
      </c>
      <c r="I484" s="5" t="s">
        <v>58</v>
      </c>
      <c r="J484" s="5" t="s">
        <v>10</v>
      </c>
    </row>
    <row r="485" spans="2:10" x14ac:dyDescent="0.2">
      <c r="B485" s="3" t="s">
        <v>1146</v>
      </c>
      <c r="C485" s="3" t="s">
        <v>10</v>
      </c>
      <c r="D485" s="3" t="s">
        <v>189</v>
      </c>
      <c r="E485" s="4" t="s">
        <v>10</v>
      </c>
      <c r="F485" s="3" t="s">
        <v>90</v>
      </c>
      <c r="G485" s="3" t="s">
        <v>84</v>
      </c>
      <c r="H485" s="3" t="s">
        <v>49</v>
      </c>
      <c r="I485" s="3" t="s">
        <v>85</v>
      </c>
      <c r="J485" s="3" t="s">
        <v>10</v>
      </c>
    </row>
    <row r="486" spans="2:10" x14ac:dyDescent="0.2">
      <c r="B486" s="5" t="s">
        <v>1147</v>
      </c>
      <c r="C486" s="5" t="s">
        <v>1148</v>
      </c>
      <c r="D486" s="5" t="s">
        <v>23</v>
      </c>
      <c r="E486" s="7">
        <v>642</v>
      </c>
      <c r="F486" s="5" t="s">
        <v>13</v>
      </c>
      <c r="G486" s="5" t="s">
        <v>14</v>
      </c>
      <c r="H486" s="5" t="s">
        <v>15</v>
      </c>
      <c r="I486" s="5" t="s">
        <v>16</v>
      </c>
      <c r="J486" s="1" t="str">
        <f>HYPERLINK("http://www.wlrk.com","www.wlrk.com")</f>
        <v>www.wlrk.com</v>
      </c>
    </row>
    <row r="487" spans="2:10" x14ac:dyDescent="0.2">
      <c r="B487" s="3" t="s">
        <v>1149</v>
      </c>
      <c r="C487" s="3" t="s">
        <v>1150</v>
      </c>
      <c r="D487" s="3" t="s">
        <v>23</v>
      </c>
      <c r="E487" s="4">
        <v>381</v>
      </c>
      <c r="F487" s="3" t="s">
        <v>24</v>
      </c>
      <c r="G487" s="3" t="s">
        <v>25</v>
      </c>
      <c r="H487" s="3" t="s">
        <v>26</v>
      </c>
      <c r="I487" s="3" t="s">
        <v>27</v>
      </c>
      <c r="J487" s="6" t="str">
        <f>HYPERLINK("http://www.wedlakebell.com","www.wedlakebell.com")</f>
        <v>www.wedlakebell.com</v>
      </c>
    </row>
    <row r="488" spans="2:10" x14ac:dyDescent="0.2">
      <c r="B488" s="5" t="s">
        <v>1151</v>
      </c>
      <c r="C488" s="5" t="s">
        <v>1152</v>
      </c>
      <c r="D488" s="5" t="s">
        <v>134</v>
      </c>
      <c r="E488" s="7">
        <v>134</v>
      </c>
      <c r="F488" s="5" t="s">
        <v>110</v>
      </c>
      <c r="G488" s="5" t="s">
        <v>14</v>
      </c>
      <c r="H488" s="5" t="s">
        <v>15</v>
      </c>
      <c r="I488" s="5" t="s">
        <v>16</v>
      </c>
      <c r="J488" s="1" t="str">
        <f>HYPERLINK("http://www.wefunder.com","www.wefunder.com")</f>
        <v>www.wefunder.com</v>
      </c>
    </row>
    <row r="489" spans="2:10" x14ac:dyDescent="0.2">
      <c r="B489" s="3" t="s">
        <v>1153</v>
      </c>
      <c r="C489" s="3" t="s">
        <v>1154</v>
      </c>
      <c r="D489" s="3" t="s">
        <v>12</v>
      </c>
      <c r="E489" s="4" t="s">
        <v>10</v>
      </c>
      <c r="F489" s="3" t="s">
        <v>110</v>
      </c>
      <c r="G489" s="3" t="s">
        <v>14</v>
      </c>
      <c r="H489" s="3" t="s">
        <v>15</v>
      </c>
      <c r="I489" s="3" t="s">
        <v>16</v>
      </c>
      <c r="J489" s="6" t="str">
        <f>HYPERLINK("http://www.wellsfargosecurities.com","www.wellsfargosecurities.com")</f>
        <v>www.wellsfargosecurities.com</v>
      </c>
    </row>
    <row r="490" spans="2:10" x14ac:dyDescent="0.2">
      <c r="B490" s="5" t="s">
        <v>1155</v>
      </c>
      <c r="C490" s="5" t="s">
        <v>1156</v>
      </c>
      <c r="D490" s="5" t="s">
        <v>23</v>
      </c>
      <c r="E490" s="7">
        <v>503</v>
      </c>
      <c r="F490" s="5" t="s">
        <v>351</v>
      </c>
      <c r="G490" s="5" t="s">
        <v>84</v>
      </c>
      <c r="H490" s="5" t="s">
        <v>49</v>
      </c>
      <c r="I490" s="5" t="s">
        <v>85</v>
      </c>
      <c r="J490" s="1" t="str">
        <f>HYPERLINK("http://www.werksmans.com","www.werksmans.com")</f>
        <v>www.werksmans.com</v>
      </c>
    </row>
    <row r="491" spans="2:10" x14ac:dyDescent="0.2">
      <c r="B491" s="3" t="s">
        <v>1157</v>
      </c>
      <c r="C491" s="3" t="s">
        <v>10</v>
      </c>
      <c r="D491" s="3" t="s">
        <v>23</v>
      </c>
      <c r="E491" s="4" t="s">
        <v>10</v>
      </c>
      <c r="F491" s="3" t="s">
        <v>210</v>
      </c>
      <c r="G491" s="3" t="s">
        <v>48</v>
      </c>
      <c r="H491" s="3" t="s">
        <v>49</v>
      </c>
      <c r="I491" s="3" t="s">
        <v>50</v>
      </c>
      <c r="J491" s="3" t="s">
        <v>10</v>
      </c>
    </row>
    <row r="492" spans="2:10" x14ac:dyDescent="0.2">
      <c r="B492" s="5" t="s">
        <v>1158</v>
      </c>
      <c r="C492" s="5" t="s">
        <v>1159</v>
      </c>
      <c r="D492" s="5" t="s">
        <v>134</v>
      </c>
      <c r="E492" s="7">
        <v>44</v>
      </c>
      <c r="F492" s="5" t="s">
        <v>1160</v>
      </c>
      <c r="G492" s="5" t="s">
        <v>551</v>
      </c>
      <c r="H492" s="5" t="s">
        <v>552</v>
      </c>
      <c r="I492" s="5" t="s">
        <v>552</v>
      </c>
      <c r="J492" s="1" t="str">
        <f>HYPERLINK("http://www.wholesaleinvestor.com","www.wholesaleinvestor.com")</f>
        <v>www.wholesaleinvestor.com</v>
      </c>
    </row>
    <row r="493" spans="2:10" x14ac:dyDescent="0.2">
      <c r="B493" s="3" t="s">
        <v>1161</v>
      </c>
      <c r="C493" s="3" t="s">
        <v>1162</v>
      </c>
      <c r="D493" s="3" t="s">
        <v>23</v>
      </c>
      <c r="E493" s="4">
        <v>98</v>
      </c>
      <c r="F493" s="3" t="s">
        <v>249</v>
      </c>
      <c r="G493" s="3" t="s">
        <v>250</v>
      </c>
      <c r="H493" s="3" t="s">
        <v>15</v>
      </c>
      <c r="I493" s="3" t="s">
        <v>16</v>
      </c>
      <c r="J493" s="6" t="str">
        <f>HYPERLINK("http://www.wildlaw.ca","www.wildlaw.ca")</f>
        <v>www.wildlaw.ca</v>
      </c>
    </row>
    <row r="494" spans="2:10" x14ac:dyDescent="0.2">
      <c r="B494" s="5" t="s">
        <v>1163</v>
      </c>
      <c r="C494" s="5" t="s">
        <v>1164</v>
      </c>
      <c r="D494" s="5" t="s">
        <v>23</v>
      </c>
      <c r="E494" s="7">
        <v>25</v>
      </c>
      <c r="F494" s="5" t="s">
        <v>196</v>
      </c>
      <c r="G494" s="5" t="s">
        <v>197</v>
      </c>
      <c r="H494" s="5" t="s">
        <v>26</v>
      </c>
      <c r="I494" s="5" t="s">
        <v>27</v>
      </c>
      <c r="J494" s="1" t="str">
        <f>HYPERLINK("http://www.wildgen.lu","www.wildgen.lu")</f>
        <v>www.wildgen.lu</v>
      </c>
    </row>
    <row r="495" spans="2:10" x14ac:dyDescent="0.2">
      <c r="B495" s="3" t="s">
        <v>1165</v>
      </c>
      <c r="C495" s="3" t="s">
        <v>1166</v>
      </c>
      <c r="D495" s="3" t="s">
        <v>23</v>
      </c>
      <c r="E495" s="4">
        <v>2117</v>
      </c>
      <c r="F495" s="3" t="s">
        <v>13</v>
      </c>
      <c r="G495" s="3" t="s">
        <v>14</v>
      </c>
      <c r="H495" s="3" t="s">
        <v>15</v>
      </c>
      <c r="I495" s="3" t="s">
        <v>16</v>
      </c>
      <c r="J495" s="6" t="str">
        <f>HYPERLINK("http://www.willkie.com","www.willkie.com")</f>
        <v>www.willkie.com</v>
      </c>
    </row>
    <row r="496" spans="2:10" x14ac:dyDescent="0.2">
      <c r="B496" s="5" t="s">
        <v>1167</v>
      </c>
      <c r="C496" s="5" t="s">
        <v>1168</v>
      </c>
      <c r="D496" s="5" t="s">
        <v>23</v>
      </c>
      <c r="E496" s="7">
        <v>2363</v>
      </c>
      <c r="F496" s="5" t="s">
        <v>37</v>
      </c>
      <c r="G496" s="5" t="s">
        <v>14</v>
      </c>
      <c r="H496" s="5" t="s">
        <v>15</v>
      </c>
      <c r="I496" s="5" t="s">
        <v>16</v>
      </c>
      <c r="J496" s="1" t="str">
        <f>HYPERLINK("http://www.wilmerhale.com","www.wilmerhale.com")</f>
        <v>www.wilmerhale.com</v>
      </c>
    </row>
    <row r="497" spans="2:10" x14ac:dyDescent="0.2">
      <c r="B497" s="3" t="s">
        <v>1169</v>
      </c>
      <c r="C497" s="3" t="s">
        <v>1170</v>
      </c>
      <c r="D497" s="3" t="s">
        <v>12</v>
      </c>
      <c r="E497" s="4" t="s">
        <v>10</v>
      </c>
      <c r="F497" s="3" t="s">
        <v>487</v>
      </c>
      <c r="G497" s="3" t="s">
        <v>308</v>
      </c>
      <c r="H497" s="3" t="s">
        <v>49</v>
      </c>
      <c r="I497" s="3" t="s">
        <v>58</v>
      </c>
      <c r="J497" s="6" t="str">
        <f>HYPERLINK("http://worldwidesecurities-gh.com","worldwidesecurities-gh.com")</f>
        <v>worldwidesecurities-gh.com</v>
      </c>
    </row>
    <row r="498" spans="2:10" x14ac:dyDescent="0.2">
      <c r="B498" s="5" t="s">
        <v>1171</v>
      </c>
      <c r="C498" s="5" t="s">
        <v>1172</v>
      </c>
      <c r="D498" s="5" t="s">
        <v>30</v>
      </c>
      <c r="E498" s="7">
        <v>12</v>
      </c>
      <c r="F498" s="5" t="s">
        <v>106</v>
      </c>
      <c r="G498" s="5" t="s">
        <v>107</v>
      </c>
      <c r="H498" s="5" t="s">
        <v>26</v>
      </c>
      <c r="I498" s="5" t="s">
        <v>27</v>
      </c>
      <c r="J498" s="1" t="str">
        <f>HYPERLINK("http://www.xsmlcapital.com","www.xsmlcapital.com")</f>
        <v>www.xsmlcapital.com</v>
      </c>
    </row>
    <row r="499" spans="2:10" x14ac:dyDescent="0.2">
      <c r="B499" s="3" t="s">
        <v>1173</v>
      </c>
      <c r="C499" s="3" t="s">
        <v>1174</v>
      </c>
      <c r="D499" s="3" t="s">
        <v>12</v>
      </c>
      <c r="E499" s="4">
        <v>80</v>
      </c>
      <c r="F499" s="3" t="s">
        <v>1175</v>
      </c>
      <c r="G499" s="3" t="s">
        <v>14</v>
      </c>
      <c r="H499" s="3" t="s">
        <v>15</v>
      </c>
      <c r="I499" s="3" t="s">
        <v>16</v>
      </c>
      <c r="J499" s="6" t="str">
        <f>HYPERLINK("http://www.yacapital.com","www.yacapital.com")</f>
        <v>www.yacapital.com</v>
      </c>
    </row>
  </sheetData>
  <mergeCells count="1">
    <mergeCell ref="B2: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Pategou</cp:lastModifiedBy>
  <dcterms:modified xsi:type="dcterms:W3CDTF">2025-09-07T15:02:19Z</dcterms:modified>
</cp:coreProperties>
</file>